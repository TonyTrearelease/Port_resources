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Sheet1!$A$1:$G$4773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<sst xmlns="http://schemas.openxmlformats.org/spreadsheetml/2006/main" count="532" uniqueCount="235">
  <si>
    <t>港口现货资源统计表</t>
  </si>
  <si>
    <t>本周日照岚山岚桥连云港MNPJ可贸易库存638.64万吨，环比上上周减少51.6万吨。其中PB粉可贸易库存330.3万吨，环比增加8.2万吨；纽曼粉可贸易库存38.3万吨，环比减少10万吨；麦克粉可贸易库存137.74万吨，环比减少23.7万吨；金布巴可贸易库存132.3万吨，环比减少26.1万吨。超特粉可贸易库存116.6万吨，环比减少45.9万吨，混合粉可贸易库存121.8万吨，环比增加9.8万吨；乌精可贸易库存135.1万吨，环比减少19.6万吨；PB块可贸易库存4万吨，环比减少9万吨，纽曼块可贸易库存88万吨，环比增加6万吨；球团可贸易库存55.1万吨，环比减少15.4万吨。</t>
  </si>
  <si>
    <t>货类</t>
  </si>
  <si>
    <t>供应商</t>
  </si>
  <si>
    <t>数量</t>
  </si>
  <si>
    <t>港口</t>
  </si>
  <si>
    <t>指标</t>
  </si>
  <si>
    <t>船名</t>
  </si>
  <si>
    <t>备注</t>
  </si>
  <si>
    <t>PB粉</t>
  </si>
  <si>
    <t>云贸</t>
  </si>
  <si>
    <t>日照港</t>
  </si>
  <si>
    <t>奥里萨巴</t>
  </si>
  <si>
    <t>上海润鹤</t>
  </si>
  <si>
    <t>夜空</t>
  </si>
  <si>
    <t>力拓郑和</t>
  </si>
  <si>
    <t>凯航</t>
  </si>
  <si>
    <t>卡迪</t>
  </si>
  <si>
    <t>普阳</t>
  </si>
  <si>
    <t>恒美</t>
  </si>
  <si>
    <t>建发</t>
  </si>
  <si>
    <t>联拓</t>
  </si>
  <si>
    <t>博格</t>
  </si>
  <si>
    <t>中资钢联</t>
  </si>
  <si>
    <t>卡尔赛</t>
  </si>
  <si>
    <t>冀东</t>
  </si>
  <si>
    <t>瑞钢联</t>
  </si>
  <si>
    <t>大无畏/海龙/橡树</t>
  </si>
  <si>
    <t>陆海</t>
  </si>
  <si>
    <t>博格/信任/凤凰女神</t>
  </si>
  <si>
    <t>物产炉料三部</t>
  </si>
  <si>
    <t>卡尔塞</t>
  </si>
  <si>
    <t>环富</t>
  </si>
  <si>
    <t>中华和谐</t>
  </si>
  <si>
    <t>物产炉料二部</t>
  </si>
  <si>
    <t>沃伦布</t>
  </si>
  <si>
    <t>联合同创</t>
  </si>
  <si>
    <t>库克</t>
  </si>
  <si>
    <t>岚山港</t>
  </si>
  <si>
    <t>海鹦</t>
  </si>
  <si>
    <t>浙商中拓</t>
  </si>
  <si>
    <t>阿内托山</t>
  </si>
  <si>
    <t>石丰源</t>
  </si>
  <si>
    <t>海象</t>
  </si>
  <si>
    <t>山铁</t>
  </si>
  <si>
    <t>比速3</t>
  </si>
  <si>
    <t>海龙</t>
  </si>
  <si>
    <t>象屿鑫成</t>
  </si>
  <si>
    <t>交响乐</t>
  </si>
  <si>
    <t>普阳/六安</t>
  </si>
  <si>
    <t>岚桥港</t>
  </si>
  <si>
    <t>亚历山大</t>
  </si>
  <si>
    <t>中兖</t>
  </si>
  <si>
    <t>中船济南</t>
  </si>
  <si>
    <t>中海顺和</t>
  </si>
  <si>
    <t>连云港</t>
  </si>
  <si>
    <t>浙能海/光华</t>
  </si>
  <si>
    <t>高尔山</t>
  </si>
  <si>
    <t>斯坦利/光华/山东繁荣</t>
  </si>
  <si>
    <t>湖北经合</t>
  </si>
  <si>
    <t>沙钢之星</t>
  </si>
  <si>
    <t>富驰</t>
  </si>
  <si>
    <t>玛尔塔</t>
  </si>
  <si>
    <t>6.26到</t>
  </si>
  <si>
    <t>中矿</t>
  </si>
  <si>
    <t>赛马传奇</t>
  </si>
  <si>
    <t>6.28到</t>
  </si>
  <si>
    <t>卡萨诺瓦</t>
  </si>
  <si>
    <t>6.30到</t>
  </si>
  <si>
    <t>总计</t>
  </si>
  <si>
    <t>纽曼粉</t>
  </si>
  <si>
    <t>新湖</t>
  </si>
  <si>
    <t>马兰梦幻</t>
  </si>
  <si>
    <t>裕澳</t>
  </si>
  <si>
    <t>象屿钢铁</t>
  </si>
  <si>
    <t>中钢求新</t>
  </si>
  <si>
    <t>马兰灿烂</t>
  </si>
  <si>
    <t>中钢超群</t>
  </si>
  <si>
    <t>厦门国贸</t>
  </si>
  <si>
    <t>尤塔山</t>
  </si>
  <si>
    <t>中腾海</t>
  </si>
  <si>
    <t>卸货</t>
  </si>
  <si>
    <t>象石</t>
  </si>
  <si>
    <t>等泊</t>
  </si>
  <si>
    <t>麦克粉</t>
  </si>
  <si>
    <t>天使希望</t>
  </si>
  <si>
    <t>物产国贸三部</t>
  </si>
  <si>
    <t>天意角</t>
  </si>
  <si>
    <t>山东禾象</t>
  </si>
  <si>
    <t>金科熊</t>
  </si>
  <si>
    <t>信宝泰</t>
  </si>
  <si>
    <t>林格</t>
  </si>
  <si>
    <t>点石</t>
  </si>
  <si>
    <t>山东良善</t>
  </si>
  <si>
    <t>纽约</t>
  </si>
  <si>
    <t>嘉吉</t>
  </si>
  <si>
    <t>远信海</t>
  </si>
  <si>
    <t>广物中南</t>
  </si>
  <si>
    <t>恒耀</t>
  </si>
  <si>
    <t>屿丰</t>
  </si>
  <si>
    <t>塔朗</t>
  </si>
  <si>
    <t>岳山</t>
  </si>
  <si>
    <t>杭钢外贸</t>
  </si>
  <si>
    <t>大山</t>
  </si>
  <si>
    <t>利奥特</t>
  </si>
  <si>
    <t>杭钢国贸</t>
  </si>
  <si>
    <t>衡山</t>
  </si>
  <si>
    <t>港信</t>
  </si>
  <si>
    <t>凯莉公主</t>
  </si>
  <si>
    <t>好望角</t>
  </si>
  <si>
    <t>象屿张家港</t>
  </si>
  <si>
    <t>斯蒂尔山</t>
  </si>
  <si>
    <t>守卫者</t>
  </si>
  <si>
    <t>吉山</t>
  </si>
  <si>
    <t>盖亚山</t>
  </si>
  <si>
    <t>亚融</t>
  </si>
  <si>
    <t>日出</t>
  </si>
  <si>
    <t>广元海</t>
  </si>
  <si>
    <t>加纳</t>
  </si>
  <si>
    <t>凯创/坤强</t>
  </si>
  <si>
    <t>帕恩冠军</t>
  </si>
  <si>
    <t>奥斯特莉亚</t>
  </si>
  <si>
    <t>诺德特普</t>
  </si>
  <si>
    <t>艾伯塔</t>
  </si>
  <si>
    <t>黑德兰山</t>
  </si>
  <si>
    <t>6.29到</t>
  </si>
  <si>
    <t>金布巴粉</t>
  </si>
  <si>
    <t>南克罗斯</t>
  </si>
  <si>
    <t>宝仪</t>
  </si>
  <si>
    <t>维多</t>
  </si>
  <si>
    <t>中钢光辉</t>
  </si>
  <si>
    <t>BHP</t>
  </si>
  <si>
    <t>碧玺山</t>
  </si>
  <si>
    <t>冀兆</t>
  </si>
  <si>
    <t>蓝宝石</t>
  </si>
  <si>
    <t>密涅瓦</t>
  </si>
  <si>
    <t>福门托</t>
  </si>
  <si>
    <t>中华伟业</t>
  </si>
  <si>
    <t>道富</t>
  </si>
  <si>
    <t>蒙娜丽莎</t>
  </si>
  <si>
    <t>素雅</t>
  </si>
  <si>
    <t>亚融/新中惠</t>
  </si>
  <si>
    <t>哈利</t>
  </si>
  <si>
    <t>布罗德峰</t>
  </si>
  <si>
    <t>联耀</t>
  </si>
  <si>
    <t>马兰地平线</t>
  </si>
  <si>
    <t>宝泰</t>
  </si>
  <si>
    <r>
      <rPr>
        <b/>
        <sz val="11"/>
        <color rgb="FFFF0000"/>
        <rFont val="宋体"/>
        <charset val="134"/>
        <scheme val="minor"/>
      </rPr>
      <t>日照港、岚山港、连云港可贸易MNPJ共计：638.64</t>
    </r>
    <r>
      <rPr>
        <b/>
        <sz val="11"/>
        <color rgb="FFFF0000"/>
        <rFont val="宋体"/>
        <charset val="134"/>
      </rPr>
      <t>万吨</t>
    </r>
  </si>
  <si>
    <t>PB块</t>
  </si>
  <si>
    <t>幻影</t>
  </si>
  <si>
    <t>总计：</t>
  </si>
  <si>
    <t>纽曼块</t>
  </si>
  <si>
    <t>裕光</t>
  </si>
  <si>
    <t>天宝</t>
  </si>
  <si>
    <t>莱茵河</t>
  </si>
  <si>
    <t>首钢矿业</t>
  </si>
  <si>
    <t>奋斗</t>
  </si>
  <si>
    <t>翡翠</t>
  </si>
  <si>
    <t>7.1到</t>
  </si>
  <si>
    <t>印度球团</t>
  </si>
  <si>
    <t>先锋</t>
  </si>
  <si>
    <t>金开</t>
  </si>
  <si>
    <t>斯基釜山</t>
  </si>
  <si>
    <t>安琪拉</t>
  </si>
  <si>
    <t>朱罗命运</t>
  </si>
  <si>
    <t>米尔米顿</t>
  </si>
  <si>
    <t>澳洲球团</t>
  </si>
  <si>
    <t>Radiant</t>
  </si>
  <si>
    <t>黄金福沃德</t>
  </si>
  <si>
    <t>Samarco球团</t>
  </si>
  <si>
    <t>亚沙春天</t>
  </si>
  <si>
    <t>委内球团</t>
  </si>
  <si>
    <t>福联</t>
  </si>
  <si>
    <t>赫利奥斯</t>
  </si>
  <si>
    <t>智利球团</t>
  </si>
  <si>
    <t>敦刻尔克</t>
  </si>
  <si>
    <t>瑞典球团</t>
  </si>
  <si>
    <t>佩尔鲁斯</t>
  </si>
  <si>
    <t>加拿大球团</t>
  </si>
  <si>
    <t>阿波罗</t>
  </si>
  <si>
    <t>伊朗球团</t>
  </si>
  <si>
    <t>财富联盟</t>
  </si>
  <si>
    <t>快乐海洋</t>
  </si>
  <si>
    <t>凯旋11/茉莉花</t>
  </si>
  <si>
    <t>乌精</t>
  </si>
  <si>
    <t>中信</t>
  </si>
  <si>
    <t>熊猫</t>
  </si>
  <si>
    <t>艾德文</t>
  </si>
  <si>
    <t>海控</t>
  </si>
  <si>
    <t>的益信心</t>
  </si>
  <si>
    <t>河钢</t>
  </si>
  <si>
    <t>奇亚拉</t>
  </si>
  <si>
    <t>新投</t>
  </si>
  <si>
    <t>海狮</t>
  </si>
  <si>
    <t>苏美达</t>
  </si>
  <si>
    <t>比格尔</t>
  </si>
  <si>
    <t>厦门国贸矿业</t>
  </si>
  <si>
    <t>艾尔斯</t>
  </si>
  <si>
    <t>禾象</t>
  </si>
  <si>
    <t>感恩</t>
  </si>
  <si>
    <t>团发</t>
  </si>
  <si>
    <t>贝尔/感恩</t>
  </si>
  <si>
    <t>荣耀</t>
  </si>
  <si>
    <t>里拉岛</t>
  </si>
  <si>
    <t>天坛座</t>
  </si>
  <si>
    <t>乔治</t>
  </si>
  <si>
    <t>申发</t>
  </si>
  <si>
    <t>向洋</t>
  </si>
  <si>
    <t>六安</t>
  </si>
  <si>
    <t>杜加</t>
  </si>
  <si>
    <t>JUTTA</t>
  </si>
  <si>
    <t>瑞莱克斯</t>
  </si>
  <si>
    <t>超特粉</t>
  </si>
  <si>
    <t>卡索尔</t>
  </si>
  <si>
    <t>FMG</t>
  </si>
  <si>
    <t>明誉</t>
  </si>
  <si>
    <t>伯格</t>
  </si>
  <si>
    <t>嘉能可</t>
  </si>
  <si>
    <t>戴维德</t>
  </si>
  <si>
    <t>兴正元</t>
  </si>
  <si>
    <t>妮蒂女士</t>
  </si>
  <si>
    <t>玛蒂尔达</t>
  </si>
  <si>
    <t>永锋</t>
  </si>
  <si>
    <t>英克斯</t>
  </si>
  <si>
    <t>海皇</t>
  </si>
  <si>
    <t>德梅</t>
  </si>
  <si>
    <t>印地希望</t>
  </si>
  <si>
    <t>捷克矿产</t>
  </si>
  <si>
    <t>荷兰矿产</t>
  </si>
  <si>
    <t>混合粉</t>
  </si>
  <si>
    <t>比速7</t>
  </si>
  <si>
    <t>尼古拉</t>
  </si>
  <si>
    <t>优雅</t>
  </si>
  <si>
    <t>西尔</t>
  </si>
  <si>
    <t>西班牙矿产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</si>
</sst>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theme="3" tint="0.399975585192419"/>
      <name val="宋体"/>
      <charset val="134"/>
      <scheme val="minor"/>
    </font>
    <font>
      <sz val="11"/>
      <color theme="8" tint="-0.25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sz val="12"/>
      <name val="宋体"/>
      <charset val="134"/>
      <scheme val="minor"/>
    </font>
    <font>
      <sz val="12"/>
      <name val="宋体"/>
      <charset val="134"/>
    </font>
    <font>
      <sz val="12"/>
      <color theme="8" tint="-0.25"/>
      <name val="宋体"/>
      <charset val="134"/>
      <scheme val="minor"/>
    </font>
    <font>
      <sz val="12"/>
      <color theme="8" tint="-0.25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0000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6" borderId="10" applyNumberFormat="0" applyAlignment="0" applyProtection="0">
      <alignment vertical="center"/>
    </xf>
    <xf numFmtId="0" fontId="19" fillId="7" borderId="11" applyNumberFormat="0" applyAlignment="0" applyProtection="0">
      <alignment vertical="center"/>
    </xf>
    <xf numFmtId="0" fontId="20" fillId="7" borderId="10" applyNumberFormat="0" applyAlignment="0" applyProtection="0">
      <alignment vertical="center"/>
    </xf>
    <xf numFmtId="0" fontId="21" fillId="8" borderId="12" applyNumberFormat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</cellStyleXfs>
  <cellXfs count="82">
    <xf numFmtId="0" fontId="0" fillId="0" borderId="0" xfId="0"/>
    <xf numFmtId="0" fontId="0" fillId="2" borderId="0" xfId="0" applyFill="1" applyAlignment="1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0" xfId="0" applyFill="1" applyAlignment="1">
      <alignment vertical="center"/>
    </xf>
    <xf numFmtId="0" fontId="3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0" xfId="0" applyFill="1" applyBorder="1" applyAlignment="1">
      <alignment vertical="center"/>
    </xf>
    <xf numFmtId="0" fontId="4" fillId="0" borderId="0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 wrapText="1"/>
    </xf>
    <xf numFmtId="0" fontId="3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1" fillId="0" borderId="1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/>
    </xf>
    <xf numFmtId="0" fontId="0" fillId="0" borderId="0" xfId="0" applyFont="1" applyFill="1" applyBorder="1" applyAlignment="1">
      <alignment vertical="center"/>
    </xf>
    <xf numFmtId="0" fontId="3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0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6" xfId="0" applyNumberFormat="1" applyFont="1" applyBorder="1" applyAlignment="1">
      <alignment horizontal="center" vertical="center"/>
    </xf>
    <xf numFmtId="0" fontId="0" fillId="0" borderId="4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6" xfId="0" applyNumberFormat="1" applyFont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7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2" borderId="1" xfId="0" applyNumberFormat="1" applyFont="1" applyFill="1" applyBorder="1" applyAlignment="1">
      <alignment horizontal="center" vertical="center"/>
    </xf>
    <xf numFmtId="0" fontId="0" fillId="0" borderId="6" xfId="0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FF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773"/>
  <sheetViews>
    <sheetView tabSelected="1" workbookViewId="0">
      <selection activeCell="E13" sqref="E13"/>
    </sheetView>
  </sheetViews>
  <sheetFormatPr defaultColWidth="9" defaultRowHeight="13.5"/>
  <cols>
    <col min="1" max="1" width="15" style="9" customWidth="1"/>
    <col min="2" max="2" width="17.125" style="9" customWidth="1"/>
    <col min="3" max="3" width="14.375" style="9" customWidth="1"/>
    <col min="4" max="4" width="13.125" style="9" customWidth="1"/>
    <col min="5" max="5" width="19.375" style="9" customWidth="1"/>
    <col min="6" max="6" width="15.75" style="10" customWidth="1"/>
    <col min="7" max="7" width="22" style="11" customWidth="1"/>
    <col min="8" max="8" width="13.5" style="12" customWidth="1"/>
    <col min="9" max="13" width="9" style="12"/>
    <col min="14" max="20" width="9" style="9"/>
    <col min="21" max="21" width="11.5" style="9" customWidth="1"/>
    <col min="22" max="16384" width="9" style="9"/>
  </cols>
  <sheetData>
    <row r="1" spans="1:13">
      <c r="A1" s="13" t="s">
        <v>0</v>
      </c>
      <c r="B1" s="14"/>
      <c r="C1" s="14"/>
      <c r="D1" s="14"/>
      <c r="E1" s="14"/>
      <c r="F1" s="14"/>
      <c r="G1" s="15"/>
    </row>
    <row r="2" spans="1:13">
      <c r="A2" s="16" t="s">
        <v>1</v>
      </c>
      <c r="B2" s="17"/>
      <c r="C2" s="17"/>
      <c r="D2" s="17"/>
      <c r="E2" s="17"/>
      <c r="F2" s="17"/>
      <c r="G2" s="17"/>
    </row>
    <row r="3" ht="96.75" customHeight="1" spans="1:13">
      <c r="A3" s="17"/>
      <c r="B3" s="17"/>
      <c r="C3" s="17"/>
      <c r="D3" s="17"/>
      <c r="E3" s="17"/>
      <c r="F3" s="17"/>
      <c r="G3" s="17"/>
    </row>
    <row r="4" s="1" customFormat="1" ht="20.1" customHeight="1" spans="1:13">
      <c r="A4" s="18" t="s">
        <v>2</v>
      </c>
      <c r="B4" s="18" t="s">
        <v>3</v>
      </c>
      <c r="C4" s="18" t="s">
        <v>4</v>
      </c>
      <c r="D4" s="18" t="s">
        <v>5</v>
      </c>
      <c r="E4" s="19" t="s">
        <v>6</v>
      </c>
      <c r="F4" s="19" t="s">
        <v>7</v>
      </c>
      <c r="G4" s="18" t="s">
        <v>8</v>
      </c>
      <c r="H4" s="13"/>
      <c r="I4" s="13"/>
      <c r="J4" s="13"/>
      <c r="K4" s="13"/>
      <c r="L4" s="13"/>
      <c r="M4" s="13"/>
    </row>
    <row r="5" s="2" customFormat="1" ht="20.1" customHeight="1" spans="1:13">
      <c r="A5" s="20" t="s">
        <v>9</v>
      </c>
      <c r="B5" s="21" t="s">
        <v>10</v>
      </c>
      <c r="C5" s="22">
        <v>100000</v>
      </c>
      <c r="D5" s="22" t="s">
        <v>11</v>
      </c>
      <c r="E5" s="22">
        <v>61.93</v>
      </c>
      <c r="F5" s="22" t="s">
        <v>12</v>
      </c>
      <c r="G5" s="22"/>
      <c r="H5" s="23"/>
      <c r="I5" s="23"/>
      <c r="J5" s="23"/>
      <c r="K5" s="23"/>
      <c r="L5" s="23"/>
      <c r="M5" s="23"/>
    </row>
    <row r="6" s="2" customFormat="1" ht="20.1" customHeight="1" spans="1:13">
      <c r="A6" s="20"/>
      <c r="B6" s="21" t="s">
        <v>13</v>
      </c>
      <c r="C6" s="22">
        <v>50000</v>
      </c>
      <c r="D6" s="22" t="s">
        <v>11</v>
      </c>
      <c r="E6" s="22">
        <v>61.16</v>
      </c>
      <c r="F6" s="22" t="s">
        <v>14</v>
      </c>
      <c r="G6" s="22"/>
      <c r="H6" s="23"/>
      <c r="I6" s="23"/>
      <c r="J6" s="23"/>
      <c r="K6" s="23"/>
      <c r="L6" s="23"/>
      <c r="M6" s="23"/>
    </row>
    <row r="7" s="3" customFormat="1" ht="20.1" customHeight="1" spans="1:13">
      <c r="A7" s="20"/>
      <c r="B7" s="21" t="s">
        <v>13</v>
      </c>
      <c r="C7" s="22">
        <v>150000</v>
      </c>
      <c r="D7" s="22" t="s">
        <v>11</v>
      </c>
      <c r="E7" s="22">
        <v>60.51</v>
      </c>
      <c r="F7" s="22" t="s">
        <v>15</v>
      </c>
      <c r="G7" s="22"/>
      <c r="H7" s="23"/>
      <c r="I7" s="23"/>
      <c r="J7" s="23"/>
      <c r="K7" s="23"/>
      <c r="L7" s="23"/>
      <c r="M7" s="23"/>
    </row>
    <row r="8" s="3" customFormat="1" ht="20.1" customHeight="1" spans="1:13">
      <c r="A8" s="20"/>
      <c r="B8" s="21" t="s">
        <v>16</v>
      </c>
      <c r="C8" s="22">
        <v>10000</v>
      </c>
      <c r="D8" s="22" t="s">
        <v>11</v>
      </c>
      <c r="E8" s="22">
        <v>61.27</v>
      </c>
      <c r="F8" s="22" t="s">
        <v>17</v>
      </c>
      <c r="G8" s="22"/>
      <c r="H8" s="23"/>
      <c r="I8" s="23"/>
      <c r="J8" s="23"/>
      <c r="K8" s="23"/>
      <c r="L8" s="23"/>
      <c r="M8" s="23"/>
    </row>
    <row r="9" s="3" customFormat="1" ht="20.1" customHeight="1" spans="1:13">
      <c r="A9" s="20"/>
      <c r="B9" s="21" t="s">
        <v>18</v>
      </c>
      <c r="C9" s="22">
        <v>10000</v>
      </c>
      <c r="D9" s="22" t="s">
        <v>11</v>
      </c>
      <c r="E9" s="22">
        <v>60.63</v>
      </c>
      <c r="F9" s="22" t="s">
        <v>19</v>
      </c>
      <c r="G9" s="22"/>
      <c r="H9" s="23"/>
      <c r="I9" s="23"/>
      <c r="J9" s="23"/>
      <c r="K9" s="23"/>
      <c r="L9" s="23"/>
      <c r="M9" s="23"/>
    </row>
    <row r="10" s="3" customFormat="1" ht="20.1" customHeight="1" spans="1:13">
      <c r="A10" s="20"/>
      <c r="B10" s="21" t="s">
        <v>20</v>
      </c>
      <c r="C10" s="22">
        <v>10000</v>
      </c>
      <c r="D10" s="22" t="s">
        <v>11</v>
      </c>
      <c r="E10" s="22">
        <v>61.16</v>
      </c>
      <c r="F10" s="22" t="s">
        <v>14</v>
      </c>
      <c r="G10" s="22"/>
      <c r="H10" s="23"/>
      <c r="I10" s="23"/>
      <c r="J10" s="23"/>
      <c r="K10" s="23"/>
      <c r="L10" s="23"/>
      <c r="M10" s="23"/>
    </row>
    <row r="11" s="3" customFormat="1" ht="20.1" customHeight="1" spans="1:13">
      <c r="A11" s="20"/>
      <c r="B11" s="21" t="s">
        <v>21</v>
      </c>
      <c r="C11" s="22">
        <v>170000</v>
      </c>
      <c r="D11" s="22" t="s">
        <v>11</v>
      </c>
      <c r="E11" s="22">
        <v>60.67</v>
      </c>
      <c r="F11" s="22" t="s">
        <v>22</v>
      </c>
      <c r="G11" s="22"/>
      <c r="H11" s="23"/>
      <c r="I11" s="23"/>
      <c r="J11" s="23"/>
      <c r="K11" s="23"/>
      <c r="L11" s="23"/>
      <c r="M11" s="23"/>
    </row>
    <row r="12" s="3" customFormat="1" ht="20.1" customHeight="1" spans="1:13">
      <c r="A12" s="20"/>
      <c r="B12" s="21" t="s">
        <v>23</v>
      </c>
      <c r="C12" s="22">
        <v>40000</v>
      </c>
      <c r="D12" s="22" t="s">
        <v>11</v>
      </c>
      <c r="E12" s="22">
        <v>60.92</v>
      </c>
      <c r="F12" s="22" t="s">
        <v>24</v>
      </c>
      <c r="G12" s="22"/>
      <c r="H12" s="23"/>
      <c r="I12" s="23"/>
      <c r="J12" s="23"/>
      <c r="K12" s="23"/>
      <c r="L12" s="23"/>
      <c r="M12" s="23"/>
    </row>
    <row r="13" s="3" customFormat="1" ht="20.1" customHeight="1" spans="1:13">
      <c r="A13" s="20"/>
      <c r="B13" s="21" t="s">
        <v>25</v>
      </c>
      <c r="C13" s="22">
        <v>20000</v>
      </c>
      <c r="D13" s="22" t="s">
        <v>11</v>
      </c>
      <c r="E13" s="22">
        <v>60.92</v>
      </c>
      <c r="F13" s="22" t="s">
        <v>24</v>
      </c>
      <c r="G13" s="22"/>
      <c r="H13" s="23"/>
      <c r="I13" s="23"/>
      <c r="J13" s="23"/>
      <c r="K13" s="23"/>
      <c r="L13" s="23"/>
      <c r="M13" s="23"/>
    </row>
    <row r="14" s="3" customFormat="1" ht="20.1" customHeight="1" spans="1:13">
      <c r="A14" s="20"/>
      <c r="B14" s="21" t="s">
        <v>26</v>
      </c>
      <c r="C14" s="22">
        <v>300000</v>
      </c>
      <c r="D14" s="22" t="s">
        <v>11</v>
      </c>
      <c r="E14" s="22">
        <v>61.19</v>
      </c>
      <c r="F14" s="22" t="s">
        <v>27</v>
      </c>
      <c r="G14" s="22"/>
      <c r="H14" s="23"/>
      <c r="I14" s="23"/>
      <c r="J14" s="23"/>
      <c r="K14" s="23"/>
      <c r="L14" s="23"/>
      <c r="M14" s="23"/>
    </row>
    <row r="15" s="3" customFormat="1" ht="20.1" customHeight="1" spans="1:13">
      <c r="A15" s="20"/>
      <c r="B15" s="21" t="s">
        <v>28</v>
      </c>
      <c r="C15" s="22">
        <v>500000</v>
      </c>
      <c r="D15" s="22" t="s">
        <v>11</v>
      </c>
      <c r="E15" s="22">
        <v>60.6</v>
      </c>
      <c r="F15" s="22" t="s">
        <v>29</v>
      </c>
      <c r="G15" s="22"/>
      <c r="H15" s="23"/>
      <c r="I15" s="23"/>
      <c r="J15" s="23"/>
      <c r="K15" s="23"/>
      <c r="L15" s="23"/>
      <c r="M15" s="23"/>
    </row>
    <row r="16" s="3" customFormat="1" ht="20.1" customHeight="1" spans="1:13">
      <c r="A16" s="20"/>
      <c r="B16" s="21" t="s">
        <v>30</v>
      </c>
      <c r="C16" s="22">
        <v>10000</v>
      </c>
      <c r="D16" s="22" t="s">
        <v>11</v>
      </c>
      <c r="E16" s="22">
        <v>60.96</v>
      </c>
      <c r="F16" s="22" t="s">
        <v>31</v>
      </c>
      <c r="G16" s="22"/>
      <c r="H16" s="23"/>
      <c r="I16" s="23"/>
      <c r="J16" s="23"/>
      <c r="K16" s="23"/>
      <c r="L16" s="23"/>
      <c r="M16" s="23"/>
    </row>
    <row r="17" s="3" customFormat="1" ht="20.1" customHeight="1" spans="1:13">
      <c r="A17" s="20"/>
      <c r="B17" s="21" t="s">
        <v>32</v>
      </c>
      <c r="C17" s="22">
        <v>170000</v>
      </c>
      <c r="D17" s="22" t="s">
        <v>11</v>
      </c>
      <c r="E17" s="22">
        <v>60.86</v>
      </c>
      <c r="F17" s="22" t="s">
        <v>33</v>
      </c>
      <c r="G17" s="22"/>
      <c r="H17" s="23"/>
      <c r="I17" s="23"/>
      <c r="J17" s="23"/>
      <c r="K17" s="23"/>
      <c r="L17" s="23"/>
      <c r="M17" s="23"/>
    </row>
    <row r="18" s="3" customFormat="1" ht="20.1" customHeight="1" spans="1:13">
      <c r="A18" s="20"/>
      <c r="B18" s="21" t="s">
        <v>34</v>
      </c>
      <c r="C18" s="22">
        <v>70000</v>
      </c>
      <c r="D18" s="22" t="s">
        <v>11</v>
      </c>
      <c r="E18" s="22">
        <v>61.38</v>
      </c>
      <c r="F18" s="22" t="s">
        <v>35</v>
      </c>
      <c r="G18" s="22"/>
      <c r="H18" s="23"/>
      <c r="I18" s="23"/>
      <c r="J18" s="23"/>
      <c r="K18" s="23"/>
      <c r="L18" s="23"/>
      <c r="M18" s="23"/>
    </row>
    <row r="19" s="3" customFormat="1" ht="20.1" customHeight="1" spans="1:13">
      <c r="A19" s="20"/>
      <c r="B19" s="21" t="s">
        <v>36</v>
      </c>
      <c r="C19" s="22">
        <v>100000</v>
      </c>
      <c r="D19" s="22" t="s">
        <v>11</v>
      </c>
      <c r="E19" s="22">
        <v>60.83</v>
      </c>
      <c r="F19" s="22" t="s">
        <v>37</v>
      </c>
      <c r="G19" s="22"/>
      <c r="H19" s="23"/>
      <c r="I19" s="23"/>
      <c r="J19" s="23"/>
      <c r="K19" s="23"/>
      <c r="L19" s="23"/>
      <c r="M19" s="23"/>
    </row>
    <row r="20" s="3" customFormat="1" ht="20.1" customHeight="1" spans="1:13">
      <c r="A20" s="20"/>
      <c r="B20" s="21" t="s">
        <v>10</v>
      </c>
      <c r="C20" s="22">
        <v>50000</v>
      </c>
      <c r="D20" s="22" t="s">
        <v>38</v>
      </c>
      <c r="E20" s="22">
        <v>61.7</v>
      </c>
      <c r="F20" s="22" t="s">
        <v>39</v>
      </c>
      <c r="G20" s="22"/>
      <c r="H20" s="23"/>
      <c r="I20" s="23"/>
      <c r="J20" s="23"/>
      <c r="K20" s="23"/>
      <c r="L20" s="23"/>
      <c r="M20" s="23"/>
    </row>
    <row r="21" s="3" customFormat="1" ht="20.1" customHeight="1" spans="1:13">
      <c r="A21" s="20"/>
      <c r="B21" s="21" t="s">
        <v>40</v>
      </c>
      <c r="C21" s="22">
        <v>15000</v>
      </c>
      <c r="D21" s="22" t="s">
        <v>38</v>
      </c>
      <c r="E21" s="22">
        <v>60.63</v>
      </c>
      <c r="F21" s="22" t="s">
        <v>41</v>
      </c>
      <c r="G21" s="22"/>
      <c r="H21" s="23"/>
      <c r="I21" s="23"/>
      <c r="J21" s="23"/>
      <c r="K21" s="23"/>
      <c r="L21" s="23"/>
      <c r="M21" s="23"/>
    </row>
    <row r="22" s="3" customFormat="1" ht="20.1" customHeight="1" spans="1:13">
      <c r="A22" s="20"/>
      <c r="B22" s="21" t="s">
        <v>42</v>
      </c>
      <c r="C22" s="22">
        <v>85000</v>
      </c>
      <c r="D22" s="22" t="s">
        <v>38</v>
      </c>
      <c r="E22" s="22">
        <v>60.52</v>
      </c>
      <c r="F22" s="22" t="s">
        <v>43</v>
      </c>
      <c r="G22" s="22"/>
      <c r="H22" s="23"/>
      <c r="I22" s="23"/>
      <c r="J22" s="23"/>
      <c r="K22" s="23"/>
      <c r="L22" s="23"/>
      <c r="M22" s="23"/>
    </row>
    <row r="23" s="3" customFormat="1" ht="20.1" customHeight="1" spans="1:13">
      <c r="A23" s="20"/>
      <c r="B23" s="21" t="s">
        <v>44</v>
      </c>
      <c r="C23" s="22">
        <v>100000</v>
      </c>
      <c r="D23" s="22" t="s">
        <v>38</v>
      </c>
      <c r="E23" s="22">
        <v>60.89</v>
      </c>
      <c r="F23" s="22" t="s">
        <v>45</v>
      </c>
      <c r="G23" s="22"/>
      <c r="H23" s="23"/>
      <c r="I23" s="23"/>
      <c r="J23" s="23"/>
      <c r="K23" s="23"/>
      <c r="L23" s="23"/>
      <c r="M23" s="23"/>
    </row>
    <row r="24" s="3" customFormat="1" ht="20.1" customHeight="1" spans="1:13">
      <c r="A24" s="20"/>
      <c r="B24" s="21" t="s">
        <v>34</v>
      </c>
      <c r="C24" s="22">
        <v>80000</v>
      </c>
      <c r="D24" s="22" t="s">
        <v>38</v>
      </c>
      <c r="E24" s="22"/>
      <c r="F24" s="22"/>
      <c r="G24" s="22"/>
      <c r="H24" s="23"/>
      <c r="I24" s="23"/>
      <c r="J24" s="23"/>
      <c r="K24" s="23"/>
      <c r="L24" s="23"/>
      <c r="M24" s="23"/>
    </row>
    <row r="25" s="3" customFormat="1" ht="20.1" customHeight="1" spans="1:13">
      <c r="A25" s="20"/>
      <c r="B25" s="21" t="s">
        <v>20</v>
      </c>
      <c r="C25" s="22">
        <v>8000</v>
      </c>
      <c r="D25" s="22" t="s">
        <v>38</v>
      </c>
      <c r="E25" s="22">
        <v>60.23</v>
      </c>
      <c r="F25" s="22" t="s">
        <v>46</v>
      </c>
      <c r="G25" s="22"/>
      <c r="H25" s="23"/>
      <c r="I25" s="23"/>
      <c r="J25" s="23"/>
      <c r="K25" s="23"/>
      <c r="L25" s="23"/>
      <c r="M25" s="23"/>
    </row>
    <row r="26" s="3" customFormat="1" ht="20.1" customHeight="1" spans="1:13">
      <c r="A26" s="20"/>
      <c r="B26" s="21" t="s">
        <v>47</v>
      </c>
      <c r="C26" s="22">
        <v>22000</v>
      </c>
      <c r="D26" s="22" t="s">
        <v>38</v>
      </c>
      <c r="E26" s="22">
        <v>61.25</v>
      </c>
      <c r="F26" s="22" t="s">
        <v>48</v>
      </c>
      <c r="G26" s="22"/>
      <c r="H26" s="23"/>
      <c r="I26" s="23"/>
      <c r="J26" s="23"/>
      <c r="K26" s="23"/>
      <c r="L26" s="23"/>
      <c r="M26" s="23"/>
    </row>
    <row r="27" s="3" customFormat="1" ht="20.1" customHeight="1" spans="1:13">
      <c r="A27" s="20"/>
      <c r="B27" s="21" t="s">
        <v>49</v>
      </c>
      <c r="C27" s="22">
        <v>38000</v>
      </c>
      <c r="D27" s="22" t="s">
        <v>50</v>
      </c>
      <c r="E27" s="22">
        <v>60.7</v>
      </c>
      <c r="F27" s="22" t="s">
        <v>51</v>
      </c>
      <c r="G27" s="22"/>
      <c r="H27" s="23"/>
      <c r="I27" s="23"/>
      <c r="J27" s="23"/>
      <c r="K27" s="23"/>
      <c r="L27" s="23"/>
      <c r="M27" s="23"/>
    </row>
    <row r="28" s="3" customFormat="1" ht="20.1" customHeight="1" spans="1:13">
      <c r="A28" s="20"/>
      <c r="B28" s="21" t="s">
        <v>21</v>
      </c>
      <c r="C28" s="22">
        <v>40000</v>
      </c>
      <c r="D28" s="22" t="s">
        <v>50</v>
      </c>
      <c r="E28" s="22">
        <v>60.7</v>
      </c>
      <c r="F28" s="22" t="s">
        <v>51</v>
      </c>
      <c r="G28" s="22"/>
      <c r="H28" s="23"/>
      <c r="I28" s="23"/>
      <c r="J28" s="23"/>
      <c r="K28" s="23"/>
      <c r="L28" s="23"/>
      <c r="M28" s="23"/>
    </row>
    <row r="29" s="3" customFormat="1" ht="20.1" customHeight="1" spans="1:13">
      <c r="A29" s="20"/>
      <c r="B29" s="21" t="s">
        <v>52</v>
      </c>
      <c r="C29" s="22">
        <v>100000</v>
      </c>
      <c r="D29" s="22" t="s">
        <v>50</v>
      </c>
      <c r="E29" s="22">
        <v>60.65</v>
      </c>
      <c r="F29" s="22" t="s">
        <v>53</v>
      </c>
      <c r="G29" s="22"/>
      <c r="H29" s="23"/>
      <c r="I29" s="23"/>
      <c r="J29" s="23"/>
      <c r="K29" s="23"/>
      <c r="L29" s="23"/>
      <c r="M29" s="23"/>
    </row>
    <row r="30" s="3" customFormat="1" ht="20.1" customHeight="1" spans="1:13">
      <c r="A30" s="20"/>
      <c r="B30" s="21" t="s">
        <v>26</v>
      </c>
      <c r="C30" s="22">
        <v>150000</v>
      </c>
      <c r="D30" s="22" t="s">
        <v>50</v>
      </c>
      <c r="E30" s="22">
        <v>60.56</v>
      </c>
      <c r="F30" s="22" t="s">
        <v>54</v>
      </c>
      <c r="G30" s="22"/>
      <c r="H30" s="23"/>
      <c r="I30" s="23"/>
      <c r="J30" s="23"/>
      <c r="K30" s="23"/>
      <c r="L30" s="23"/>
      <c r="M30" s="23"/>
    </row>
    <row r="31" s="3" customFormat="1" ht="20.1" customHeight="1" spans="1:13">
      <c r="A31" s="20"/>
      <c r="B31" s="21" t="s">
        <v>20</v>
      </c>
      <c r="C31" s="22">
        <v>45000</v>
      </c>
      <c r="D31" s="22" t="s">
        <v>55</v>
      </c>
      <c r="E31" s="22">
        <v>60.39</v>
      </c>
      <c r="F31" s="22" t="s">
        <v>56</v>
      </c>
      <c r="G31" s="22"/>
      <c r="H31" s="23"/>
      <c r="I31" s="23"/>
      <c r="J31" s="23"/>
      <c r="K31" s="23"/>
      <c r="L31" s="23"/>
      <c r="M31" s="23"/>
    </row>
    <row r="32" s="3" customFormat="1" ht="20.1" customHeight="1" spans="1:13">
      <c r="A32" s="20"/>
      <c r="B32" s="21" t="s">
        <v>40</v>
      </c>
      <c r="C32" s="22">
        <v>25000</v>
      </c>
      <c r="D32" s="22" t="s">
        <v>55</v>
      </c>
      <c r="E32" s="22">
        <v>60.63</v>
      </c>
      <c r="F32" s="22" t="s">
        <v>57</v>
      </c>
      <c r="G32" s="22"/>
      <c r="H32" s="23"/>
      <c r="I32" s="23"/>
      <c r="J32" s="23"/>
      <c r="K32" s="23"/>
      <c r="L32" s="23"/>
      <c r="M32" s="23"/>
    </row>
    <row r="33" s="3" customFormat="1" ht="20.1" customHeight="1" spans="1:13">
      <c r="A33" s="20"/>
      <c r="B33" s="21" t="s">
        <v>26</v>
      </c>
      <c r="C33" s="22">
        <v>400000</v>
      </c>
      <c r="D33" s="22" t="s">
        <v>55</v>
      </c>
      <c r="E33" s="22">
        <v>60.26</v>
      </c>
      <c r="F33" s="22" t="s">
        <v>58</v>
      </c>
      <c r="G33" s="22"/>
      <c r="H33" s="23"/>
      <c r="I33" s="23"/>
      <c r="J33" s="23"/>
      <c r="K33" s="23"/>
      <c r="L33" s="23"/>
      <c r="M33" s="23"/>
    </row>
    <row r="34" s="3" customFormat="1" ht="20.1" customHeight="1" spans="1:13">
      <c r="A34" s="20"/>
      <c r="B34" s="21" t="s">
        <v>59</v>
      </c>
      <c r="C34" s="22">
        <v>170000</v>
      </c>
      <c r="D34" s="22" t="s">
        <v>55</v>
      </c>
      <c r="E34" s="22">
        <v>60.82</v>
      </c>
      <c r="F34" s="22" t="s">
        <v>60</v>
      </c>
      <c r="G34" s="22"/>
      <c r="H34" s="23"/>
      <c r="I34" s="23"/>
      <c r="J34" s="23"/>
      <c r="K34" s="23"/>
      <c r="L34" s="23"/>
      <c r="M34" s="23"/>
    </row>
    <row r="35" s="3" customFormat="1" ht="20.1" customHeight="1" spans="1:13">
      <c r="A35" s="20"/>
      <c r="B35" s="24" t="s">
        <v>61</v>
      </c>
      <c r="C35" s="25">
        <v>110000</v>
      </c>
      <c r="D35" s="25" t="s">
        <v>38</v>
      </c>
      <c r="E35" s="25">
        <v>60.46</v>
      </c>
      <c r="F35" s="25" t="s">
        <v>62</v>
      </c>
      <c r="G35" s="25" t="s">
        <v>63</v>
      </c>
      <c r="H35" s="23"/>
      <c r="I35" s="23"/>
      <c r="J35" s="23"/>
      <c r="K35" s="23"/>
      <c r="L35" s="23"/>
      <c r="M35" s="23"/>
    </row>
    <row r="36" s="3" customFormat="1" ht="20.1" customHeight="1" spans="1:13">
      <c r="A36" s="20"/>
      <c r="B36" s="24" t="s">
        <v>64</v>
      </c>
      <c r="C36" s="25">
        <v>80000</v>
      </c>
      <c r="D36" s="25" t="s">
        <v>11</v>
      </c>
      <c r="E36" s="25">
        <v>60.95</v>
      </c>
      <c r="F36" s="25" t="s">
        <v>65</v>
      </c>
      <c r="G36" s="25" t="s">
        <v>66</v>
      </c>
      <c r="H36" s="23"/>
      <c r="I36" s="23"/>
      <c r="J36" s="23"/>
      <c r="K36" s="23"/>
      <c r="L36" s="23"/>
      <c r="M36" s="23"/>
    </row>
    <row r="37" s="3" customFormat="1" ht="20.1" customHeight="1" spans="1:13">
      <c r="A37" s="20"/>
      <c r="B37" s="24" t="s">
        <v>64</v>
      </c>
      <c r="C37" s="25">
        <v>75000</v>
      </c>
      <c r="D37" s="25" t="s">
        <v>55</v>
      </c>
      <c r="E37" s="25">
        <v>61.03</v>
      </c>
      <c r="F37" s="25" t="s">
        <v>67</v>
      </c>
      <c r="G37" s="25" t="s">
        <v>68</v>
      </c>
      <c r="H37" s="23"/>
      <c r="I37" s="23"/>
      <c r="J37" s="23"/>
      <c r="K37" s="23"/>
      <c r="L37" s="23"/>
      <c r="M37" s="23"/>
    </row>
    <row r="38" s="1" customFormat="1" ht="20.1" customHeight="1" spans="1:13">
      <c r="A38" s="26"/>
      <c r="B38" s="26" t="s">
        <v>69</v>
      </c>
      <c r="C38" s="26">
        <f>SUM(C5:C37)</f>
        <v>3303000</v>
      </c>
      <c r="D38" s="26"/>
      <c r="E38" s="27"/>
      <c r="F38" s="27"/>
      <c r="G38" s="26"/>
      <c r="H38" s="12"/>
      <c r="I38" s="12"/>
      <c r="J38" s="12"/>
      <c r="K38" s="12"/>
      <c r="L38" s="12"/>
      <c r="M38" s="12"/>
    </row>
    <row r="39" s="4" customFormat="1" ht="20.1" customHeight="1" spans="1:13">
      <c r="A39" s="28" t="s">
        <v>70</v>
      </c>
      <c r="B39" s="21" t="s">
        <v>71</v>
      </c>
      <c r="C39" s="22">
        <v>27000</v>
      </c>
      <c r="D39" s="22" t="s">
        <v>38</v>
      </c>
      <c r="E39" s="22">
        <v>62.23</v>
      </c>
      <c r="F39" s="29" t="s">
        <v>72</v>
      </c>
      <c r="G39" s="30"/>
      <c r="H39" s="31"/>
      <c r="I39" s="32"/>
      <c r="J39" s="32"/>
      <c r="K39" s="32"/>
      <c r="L39" s="32"/>
      <c r="M39" s="32"/>
    </row>
    <row r="40" s="4" customFormat="1" ht="20.1" customHeight="1" spans="1:13">
      <c r="A40" s="28"/>
      <c r="B40" s="21" t="s">
        <v>47</v>
      </c>
      <c r="C40" s="22">
        <v>46000</v>
      </c>
      <c r="D40" s="22" t="s">
        <v>50</v>
      </c>
      <c r="E40" s="22">
        <v>61.23</v>
      </c>
      <c r="F40" s="29" t="s">
        <v>73</v>
      </c>
      <c r="G40" s="30"/>
      <c r="H40" s="31"/>
      <c r="I40" s="32"/>
      <c r="J40" s="32"/>
      <c r="K40" s="32"/>
      <c r="L40" s="32"/>
      <c r="M40" s="32"/>
    </row>
    <row r="41" s="4" customFormat="1" ht="20.1" customHeight="1" spans="1:13">
      <c r="A41" s="28"/>
      <c r="B41" s="21" t="s">
        <v>74</v>
      </c>
      <c r="C41" s="22">
        <v>50000</v>
      </c>
      <c r="D41" s="22" t="s">
        <v>50</v>
      </c>
      <c r="E41" s="22">
        <v>61.5</v>
      </c>
      <c r="F41" s="29" t="s">
        <v>75</v>
      </c>
      <c r="G41" s="30"/>
      <c r="H41" s="31"/>
      <c r="I41" s="32"/>
      <c r="J41" s="32"/>
      <c r="K41" s="32"/>
      <c r="L41" s="32"/>
      <c r="M41" s="32"/>
    </row>
    <row r="42" s="4" customFormat="1" ht="20.1" customHeight="1" spans="1:13">
      <c r="A42" s="28"/>
      <c r="B42" s="21" t="s">
        <v>20</v>
      </c>
      <c r="C42" s="22">
        <v>80000</v>
      </c>
      <c r="D42" s="22" t="s">
        <v>55</v>
      </c>
      <c r="E42" s="22">
        <v>61.32</v>
      </c>
      <c r="F42" s="29" t="s">
        <v>76</v>
      </c>
      <c r="G42" s="33"/>
      <c r="H42" s="31"/>
      <c r="I42" s="32"/>
      <c r="J42" s="32"/>
      <c r="K42" s="32"/>
      <c r="L42" s="32"/>
      <c r="M42" s="32"/>
    </row>
    <row r="43" s="4" customFormat="1" ht="20.1" customHeight="1" spans="1:13">
      <c r="A43" s="28"/>
      <c r="B43" s="21" t="s">
        <v>26</v>
      </c>
      <c r="C43" s="22">
        <v>50000</v>
      </c>
      <c r="D43" s="22" t="s">
        <v>55</v>
      </c>
      <c r="E43" s="22">
        <v>61.18</v>
      </c>
      <c r="F43" s="29" t="s">
        <v>77</v>
      </c>
      <c r="G43" s="33"/>
      <c r="H43" s="31"/>
      <c r="I43" s="32"/>
      <c r="J43" s="32"/>
      <c r="K43" s="32"/>
      <c r="L43" s="32"/>
      <c r="M43" s="32"/>
    </row>
    <row r="44" s="4" customFormat="1" ht="20.1" customHeight="1" spans="1:13">
      <c r="A44" s="28"/>
      <c r="B44" s="21" t="s">
        <v>78</v>
      </c>
      <c r="C44" s="22">
        <v>40000</v>
      </c>
      <c r="D44" s="22" t="s">
        <v>55</v>
      </c>
      <c r="E44" s="22">
        <v>61.41</v>
      </c>
      <c r="F44" s="29" t="s">
        <v>79</v>
      </c>
      <c r="G44" s="33"/>
      <c r="H44" s="31"/>
      <c r="I44" s="32"/>
      <c r="J44" s="32"/>
      <c r="K44" s="32"/>
      <c r="L44" s="32"/>
      <c r="M44" s="32"/>
    </row>
    <row r="45" s="4" customFormat="1" ht="20.1" customHeight="1" spans="1:13">
      <c r="A45" s="28"/>
      <c r="B45" s="24" t="s">
        <v>74</v>
      </c>
      <c r="C45" s="25">
        <v>10000</v>
      </c>
      <c r="D45" s="25" t="s">
        <v>11</v>
      </c>
      <c r="E45" s="25">
        <v>60.7</v>
      </c>
      <c r="F45" s="34" t="s">
        <v>80</v>
      </c>
      <c r="G45" s="35" t="s">
        <v>81</v>
      </c>
      <c r="H45" s="31"/>
      <c r="I45" s="32"/>
      <c r="J45" s="32"/>
      <c r="K45" s="32"/>
      <c r="L45" s="32"/>
      <c r="M45" s="32"/>
    </row>
    <row r="46" s="4" customFormat="1" ht="20.1" customHeight="1" spans="1:13">
      <c r="A46" s="28"/>
      <c r="B46" s="24" t="s">
        <v>82</v>
      </c>
      <c r="C46" s="25">
        <v>80000</v>
      </c>
      <c r="D46" s="25" t="s">
        <v>38</v>
      </c>
      <c r="E46" s="25"/>
      <c r="F46" s="34"/>
      <c r="G46" s="36" t="s">
        <v>83</v>
      </c>
      <c r="H46" s="31"/>
      <c r="I46" s="32"/>
      <c r="J46" s="32"/>
      <c r="K46" s="32"/>
      <c r="L46" s="32"/>
      <c r="M46" s="32"/>
    </row>
    <row r="47" s="1" customFormat="1" ht="20.1" customHeight="1" spans="1:13">
      <c r="A47" s="26"/>
      <c r="B47" s="26" t="s">
        <v>69</v>
      </c>
      <c r="C47" s="26">
        <f>SUM(C39:C46)</f>
        <v>383000</v>
      </c>
      <c r="D47" s="26"/>
      <c r="E47" s="27"/>
      <c r="F47" s="27"/>
      <c r="G47" s="26"/>
      <c r="H47" s="12"/>
      <c r="I47" s="12"/>
      <c r="J47" s="12"/>
      <c r="K47" s="12"/>
      <c r="L47" s="12"/>
      <c r="M47" s="12"/>
    </row>
    <row r="48" s="5" customFormat="1" ht="20.1" customHeight="1" spans="1:13">
      <c r="A48" s="28" t="s">
        <v>84</v>
      </c>
      <c r="B48" s="37" t="s">
        <v>16</v>
      </c>
      <c r="C48" s="37">
        <v>10000</v>
      </c>
      <c r="D48" s="37" t="s">
        <v>11</v>
      </c>
      <c r="E48" s="37">
        <v>60.87</v>
      </c>
      <c r="F48" s="37" t="s">
        <v>85</v>
      </c>
      <c r="G48" s="37"/>
      <c r="H48" s="12"/>
      <c r="I48" s="12"/>
      <c r="J48" s="12"/>
      <c r="K48" s="12"/>
      <c r="L48" s="12"/>
      <c r="M48" s="12"/>
    </row>
    <row r="49" s="5" customFormat="1" ht="20.1" customHeight="1" spans="1:13">
      <c r="A49" s="28"/>
      <c r="B49" s="37" t="s">
        <v>86</v>
      </c>
      <c r="C49" s="37">
        <v>20000</v>
      </c>
      <c r="D49" s="37" t="s">
        <v>11</v>
      </c>
      <c r="E49" s="37">
        <v>60.51</v>
      </c>
      <c r="F49" s="37" t="s">
        <v>85</v>
      </c>
      <c r="G49" s="37"/>
      <c r="H49" s="12"/>
      <c r="I49" s="12"/>
      <c r="J49" s="12"/>
      <c r="K49" s="12"/>
      <c r="L49" s="12"/>
      <c r="M49" s="12"/>
    </row>
    <row r="50" s="5" customFormat="1" ht="20.1" customHeight="1" spans="1:13">
      <c r="A50" s="28"/>
      <c r="B50" s="37" t="s">
        <v>44</v>
      </c>
      <c r="C50" s="37">
        <v>60000</v>
      </c>
      <c r="D50" s="37" t="s">
        <v>11</v>
      </c>
      <c r="E50" s="37">
        <v>60.78</v>
      </c>
      <c r="F50" s="37" t="s">
        <v>87</v>
      </c>
      <c r="G50" s="37"/>
      <c r="H50" s="12"/>
      <c r="I50" s="12"/>
      <c r="J50" s="12"/>
      <c r="K50" s="12"/>
      <c r="L50" s="12"/>
      <c r="M50" s="12"/>
    </row>
    <row r="51" s="5" customFormat="1" ht="20.1" customHeight="1" spans="1:13">
      <c r="A51" s="28"/>
      <c r="B51" s="37" t="s">
        <v>88</v>
      </c>
      <c r="C51" s="37">
        <v>90000</v>
      </c>
      <c r="D51" s="37" t="s">
        <v>11</v>
      </c>
      <c r="E51" s="37">
        <v>60.58</v>
      </c>
      <c r="F51" s="37" t="s">
        <v>89</v>
      </c>
      <c r="G51" s="37"/>
      <c r="H51" s="12"/>
      <c r="I51" s="12"/>
      <c r="J51" s="12"/>
      <c r="K51" s="12"/>
      <c r="L51" s="12"/>
      <c r="M51" s="12"/>
    </row>
    <row r="52" s="5" customFormat="1" ht="20.1" customHeight="1" spans="1:13">
      <c r="A52" s="28"/>
      <c r="B52" s="37" t="s">
        <v>90</v>
      </c>
      <c r="C52" s="37">
        <v>55000</v>
      </c>
      <c r="D52" s="37" t="s">
        <v>11</v>
      </c>
      <c r="E52" s="37">
        <v>60.58</v>
      </c>
      <c r="F52" s="37" t="s">
        <v>91</v>
      </c>
      <c r="G52" s="37"/>
      <c r="H52" s="12"/>
      <c r="I52" s="12"/>
      <c r="J52" s="12"/>
      <c r="K52" s="12"/>
      <c r="L52" s="12"/>
      <c r="M52" s="12"/>
    </row>
    <row r="53" s="2" customFormat="1" ht="20.1" customHeight="1" spans="1:13">
      <c r="A53" s="38"/>
      <c r="B53" s="37" t="s">
        <v>92</v>
      </c>
      <c r="C53" s="37">
        <v>10000</v>
      </c>
      <c r="D53" s="37" t="s">
        <v>11</v>
      </c>
      <c r="E53" s="37">
        <v>60.58</v>
      </c>
      <c r="F53" s="37" t="s">
        <v>91</v>
      </c>
      <c r="G53" s="37"/>
      <c r="H53" s="32"/>
      <c r="I53" s="32"/>
      <c r="J53" s="32"/>
      <c r="K53" s="32"/>
      <c r="L53" s="32"/>
      <c r="M53" s="32"/>
    </row>
    <row r="54" s="2" customFormat="1" ht="20.1" customHeight="1" spans="1:13">
      <c r="A54" s="38"/>
      <c r="B54" s="37" t="s">
        <v>93</v>
      </c>
      <c r="C54" s="37">
        <v>90000</v>
      </c>
      <c r="D54" s="37" t="s">
        <v>11</v>
      </c>
      <c r="E54" s="37">
        <v>60.62</v>
      </c>
      <c r="F54" s="37" t="s">
        <v>94</v>
      </c>
      <c r="G54" s="37"/>
      <c r="H54" s="32"/>
      <c r="I54" s="32"/>
      <c r="J54" s="32"/>
      <c r="K54" s="32"/>
      <c r="L54" s="32"/>
      <c r="M54" s="32"/>
    </row>
    <row r="55" s="2" customFormat="1" ht="20.1" customHeight="1" spans="1:13">
      <c r="A55" s="38"/>
      <c r="B55" s="37" t="s">
        <v>95</v>
      </c>
      <c r="C55" s="37">
        <v>90000</v>
      </c>
      <c r="D55" s="37" t="s">
        <v>11</v>
      </c>
      <c r="E55" s="37">
        <v>60.71</v>
      </c>
      <c r="F55" s="37" t="s">
        <v>96</v>
      </c>
      <c r="G55" s="37"/>
      <c r="H55" s="32"/>
      <c r="I55" s="32"/>
      <c r="J55" s="32"/>
      <c r="K55" s="32"/>
      <c r="L55" s="32"/>
      <c r="M55" s="32"/>
    </row>
    <row r="56" s="2" customFormat="1" ht="20.1" customHeight="1" spans="1:13">
      <c r="A56" s="38"/>
      <c r="B56" s="37" t="s">
        <v>97</v>
      </c>
      <c r="C56" s="37">
        <v>90000</v>
      </c>
      <c r="D56" s="37" t="s">
        <v>11</v>
      </c>
      <c r="E56" s="37">
        <v>60.66</v>
      </c>
      <c r="F56" s="37" t="s">
        <v>98</v>
      </c>
      <c r="G56" s="37"/>
      <c r="H56" s="32"/>
      <c r="I56" s="32"/>
      <c r="J56" s="32"/>
      <c r="K56" s="32"/>
      <c r="L56" s="32"/>
      <c r="M56" s="32"/>
    </row>
    <row r="57" s="2" customFormat="1" ht="20.1" customHeight="1" spans="1:13">
      <c r="A57" s="38"/>
      <c r="B57" s="37" t="s">
        <v>99</v>
      </c>
      <c r="C57" s="37">
        <v>5000</v>
      </c>
      <c r="D57" s="37" t="s">
        <v>11</v>
      </c>
      <c r="E57" s="37">
        <v>60.96</v>
      </c>
      <c r="F57" s="37" t="s">
        <v>100</v>
      </c>
      <c r="G57" s="37"/>
      <c r="H57" s="32"/>
      <c r="I57" s="32"/>
      <c r="J57" s="32"/>
      <c r="K57" s="32"/>
      <c r="L57" s="32"/>
      <c r="M57" s="32"/>
    </row>
    <row r="58" s="2" customFormat="1" ht="20.1" customHeight="1" spans="1:13">
      <c r="A58" s="38"/>
      <c r="B58" s="37" t="s">
        <v>26</v>
      </c>
      <c r="C58" s="37">
        <v>50000</v>
      </c>
      <c r="D58" s="37" t="s">
        <v>11</v>
      </c>
      <c r="E58" s="37">
        <v>60.49</v>
      </c>
      <c r="F58" s="37" t="s">
        <v>101</v>
      </c>
      <c r="G58" s="37"/>
      <c r="H58" s="32"/>
      <c r="I58" s="32"/>
      <c r="J58" s="32"/>
      <c r="K58" s="32"/>
      <c r="L58" s="32"/>
      <c r="M58" s="32"/>
    </row>
    <row r="59" s="2" customFormat="1" ht="20.1" customHeight="1" spans="1:13">
      <c r="A59" s="38"/>
      <c r="B59" s="37" t="s">
        <v>102</v>
      </c>
      <c r="C59" s="37">
        <v>10000</v>
      </c>
      <c r="D59" s="37" t="s">
        <v>38</v>
      </c>
      <c r="E59" s="37">
        <v>60.48</v>
      </c>
      <c r="F59" s="37" t="s">
        <v>103</v>
      </c>
      <c r="G59" s="37"/>
      <c r="H59" s="32"/>
      <c r="I59" s="32"/>
      <c r="J59" s="32"/>
      <c r="K59" s="32"/>
      <c r="L59" s="32"/>
      <c r="M59" s="32"/>
    </row>
    <row r="60" s="2" customFormat="1" ht="20.1" customHeight="1" spans="1:13">
      <c r="A60" s="38"/>
      <c r="B60" s="37" t="s">
        <v>104</v>
      </c>
      <c r="C60" s="37">
        <v>5000</v>
      </c>
      <c r="D60" s="37" t="s">
        <v>38</v>
      </c>
      <c r="E60" s="37">
        <v>60.48</v>
      </c>
      <c r="F60" s="37" t="s">
        <v>103</v>
      </c>
      <c r="G60" s="37"/>
      <c r="H60" s="32"/>
      <c r="I60" s="32"/>
      <c r="J60" s="32"/>
      <c r="K60" s="32"/>
      <c r="L60" s="32"/>
      <c r="M60" s="32"/>
    </row>
    <row r="61" s="2" customFormat="1" ht="20.1" customHeight="1" spans="1:13">
      <c r="A61" s="38"/>
      <c r="B61" s="37" t="s">
        <v>105</v>
      </c>
      <c r="C61" s="37">
        <v>60000</v>
      </c>
      <c r="D61" s="37" t="s">
        <v>38</v>
      </c>
      <c r="E61" s="37">
        <v>60.47</v>
      </c>
      <c r="F61" s="37" t="s">
        <v>106</v>
      </c>
      <c r="G61" s="37"/>
      <c r="H61" s="32"/>
      <c r="I61" s="32"/>
      <c r="J61" s="32"/>
      <c r="K61" s="32"/>
      <c r="L61" s="32"/>
      <c r="M61" s="32"/>
    </row>
    <row r="62" s="2" customFormat="1" ht="20.1" customHeight="1" spans="1:13">
      <c r="A62" s="38"/>
      <c r="B62" s="37" t="s">
        <v>107</v>
      </c>
      <c r="C62" s="37">
        <v>10000</v>
      </c>
      <c r="D62" s="37" t="s">
        <v>38</v>
      </c>
      <c r="E62" s="37">
        <v>60.57</v>
      </c>
      <c r="F62" s="37" t="s">
        <v>108</v>
      </c>
      <c r="G62" s="37"/>
      <c r="H62" s="32"/>
      <c r="I62" s="32"/>
      <c r="J62" s="32"/>
      <c r="K62" s="32"/>
      <c r="L62" s="32"/>
      <c r="M62" s="32"/>
    </row>
    <row r="63" s="2" customFormat="1" ht="20.1" customHeight="1" spans="1:13">
      <c r="A63" s="38"/>
      <c r="B63" s="37" t="s">
        <v>88</v>
      </c>
      <c r="C63" s="37">
        <v>10000</v>
      </c>
      <c r="D63" s="37" t="s">
        <v>38</v>
      </c>
      <c r="E63" s="37">
        <v>60.57</v>
      </c>
      <c r="F63" s="37" t="s">
        <v>108</v>
      </c>
      <c r="G63" s="37"/>
      <c r="H63" s="32"/>
      <c r="I63" s="32"/>
      <c r="J63" s="32"/>
      <c r="K63" s="32"/>
      <c r="L63" s="32"/>
      <c r="M63" s="32"/>
    </row>
    <row r="64" s="2" customFormat="1" ht="20.1" customHeight="1" spans="1:13">
      <c r="A64" s="38"/>
      <c r="B64" s="37" t="s">
        <v>21</v>
      </c>
      <c r="C64" s="37">
        <v>70000</v>
      </c>
      <c r="D64" s="37" t="s">
        <v>38</v>
      </c>
      <c r="E64" s="37">
        <v>60.87</v>
      </c>
      <c r="F64" s="37" t="s">
        <v>109</v>
      </c>
      <c r="G64" s="37"/>
      <c r="H64" s="32"/>
      <c r="I64" s="32"/>
      <c r="J64" s="32"/>
      <c r="K64" s="32"/>
      <c r="L64" s="32"/>
      <c r="M64" s="32"/>
    </row>
    <row r="65" s="2" customFormat="1" ht="20.1" customHeight="1" spans="1:13">
      <c r="A65" s="38"/>
      <c r="B65" s="37" t="s">
        <v>110</v>
      </c>
      <c r="C65" s="37">
        <v>5400</v>
      </c>
      <c r="D65" s="37" t="s">
        <v>38</v>
      </c>
      <c r="E65" s="37">
        <v>61.09</v>
      </c>
      <c r="F65" s="37" t="s">
        <v>111</v>
      </c>
      <c r="G65" s="37"/>
      <c r="H65" s="32"/>
      <c r="I65" s="32"/>
      <c r="J65" s="32"/>
      <c r="K65" s="32"/>
      <c r="L65" s="32"/>
      <c r="M65" s="32"/>
    </row>
    <row r="66" s="2" customFormat="1" ht="20.1" customHeight="1" spans="1:13">
      <c r="A66" s="38"/>
      <c r="B66" s="37" t="s">
        <v>52</v>
      </c>
      <c r="C66" s="37">
        <v>90000</v>
      </c>
      <c r="D66" s="37" t="s">
        <v>38</v>
      </c>
      <c r="E66" s="37">
        <v>60.75</v>
      </c>
      <c r="F66" s="37" t="s">
        <v>112</v>
      </c>
      <c r="G66" s="37"/>
      <c r="H66" s="32"/>
      <c r="I66" s="32"/>
      <c r="J66" s="32"/>
      <c r="K66" s="32"/>
      <c r="L66" s="32"/>
      <c r="M66" s="32"/>
    </row>
    <row r="67" s="2" customFormat="1" ht="20.1" customHeight="1" spans="1:13">
      <c r="A67" s="38"/>
      <c r="B67" s="37" t="s">
        <v>52</v>
      </c>
      <c r="C67" s="37">
        <v>20000</v>
      </c>
      <c r="D67" s="37" t="s">
        <v>50</v>
      </c>
      <c r="E67" s="37">
        <v>60.44</v>
      </c>
      <c r="F67" s="37" t="s">
        <v>113</v>
      </c>
      <c r="G67" s="37"/>
      <c r="H67" s="32"/>
      <c r="I67" s="32"/>
      <c r="J67" s="32"/>
      <c r="K67" s="32"/>
      <c r="L67" s="32"/>
      <c r="M67" s="32"/>
    </row>
    <row r="68" s="2" customFormat="1" ht="20.1" customHeight="1" spans="1:13">
      <c r="A68" s="38"/>
      <c r="B68" s="37" t="s">
        <v>52</v>
      </c>
      <c r="C68" s="37">
        <v>20000</v>
      </c>
      <c r="D68" s="37" t="s">
        <v>50</v>
      </c>
      <c r="E68" s="37">
        <v>60.65</v>
      </c>
      <c r="F68" s="37" t="s">
        <v>114</v>
      </c>
      <c r="G68" s="37"/>
      <c r="H68" s="32"/>
      <c r="I68" s="32"/>
      <c r="J68" s="32"/>
      <c r="K68" s="32"/>
      <c r="L68" s="32"/>
      <c r="M68" s="32"/>
    </row>
    <row r="69" s="2" customFormat="1" ht="20.1" customHeight="1" spans="1:13">
      <c r="A69" s="38"/>
      <c r="B69" s="37" t="s">
        <v>115</v>
      </c>
      <c r="C69" s="37">
        <v>10000</v>
      </c>
      <c r="D69" s="37" t="s">
        <v>50</v>
      </c>
      <c r="E69" s="37">
        <v>60.56</v>
      </c>
      <c r="F69" s="37" t="s">
        <v>116</v>
      </c>
      <c r="G69" s="37"/>
      <c r="H69" s="32"/>
      <c r="I69" s="32"/>
      <c r="J69" s="32"/>
      <c r="K69" s="32"/>
      <c r="L69" s="32"/>
      <c r="M69" s="32"/>
    </row>
    <row r="70" s="2" customFormat="1" ht="20.1" customHeight="1" spans="1:13">
      <c r="A70" s="38"/>
      <c r="B70" s="37" t="s">
        <v>82</v>
      </c>
      <c r="C70" s="37">
        <v>115000</v>
      </c>
      <c r="D70" s="37" t="s">
        <v>50</v>
      </c>
      <c r="E70" s="37">
        <v>60.6</v>
      </c>
      <c r="F70" s="37" t="s">
        <v>117</v>
      </c>
      <c r="G70" s="37"/>
      <c r="H70" s="32"/>
      <c r="I70" s="32"/>
      <c r="J70" s="32"/>
      <c r="K70" s="32"/>
      <c r="L70" s="32"/>
      <c r="M70" s="32"/>
    </row>
    <row r="71" s="2" customFormat="1" ht="20.1" customHeight="1" spans="1:13">
      <c r="A71" s="38"/>
      <c r="B71" s="37" t="s">
        <v>25</v>
      </c>
      <c r="C71" s="37">
        <v>20000</v>
      </c>
      <c r="D71" s="37" t="s">
        <v>55</v>
      </c>
      <c r="E71" s="37">
        <v>60.45</v>
      </c>
      <c r="F71" s="37" t="s">
        <v>118</v>
      </c>
      <c r="G71" s="37"/>
      <c r="H71" s="32"/>
      <c r="I71" s="32"/>
      <c r="J71" s="32"/>
      <c r="K71" s="32"/>
      <c r="L71" s="32"/>
      <c r="M71" s="32"/>
    </row>
    <row r="72" s="2" customFormat="1" ht="20.1" customHeight="1" spans="1:13">
      <c r="A72" s="38"/>
      <c r="B72" s="37" t="s">
        <v>119</v>
      </c>
      <c r="C72" s="37">
        <v>75000</v>
      </c>
      <c r="D72" s="37" t="s">
        <v>55</v>
      </c>
      <c r="E72" s="37">
        <v>60.74</v>
      </c>
      <c r="F72" s="37" t="s">
        <v>120</v>
      </c>
      <c r="G72" s="37"/>
      <c r="H72" s="32"/>
      <c r="I72" s="32"/>
      <c r="J72" s="32"/>
      <c r="K72" s="32"/>
      <c r="L72" s="32"/>
      <c r="M72" s="32"/>
    </row>
    <row r="73" s="2" customFormat="1" ht="20.1" customHeight="1" spans="1:13">
      <c r="A73" s="38"/>
      <c r="B73" s="37" t="s">
        <v>82</v>
      </c>
      <c r="C73" s="37">
        <v>27000</v>
      </c>
      <c r="D73" s="37" t="s">
        <v>55</v>
      </c>
      <c r="E73" s="37">
        <v>60.75</v>
      </c>
      <c r="F73" s="37" t="s">
        <v>121</v>
      </c>
      <c r="G73" s="37"/>
      <c r="H73" s="32"/>
      <c r="I73" s="32"/>
      <c r="J73" s="32"/>
      <c r="K73" s="32"/>
      <c r="L73" s="32"/>
      <c r="M73" s="32"/>
    </row>
    <row r="74" s="2" customFormat="1" ht="20.1" customHeight="1" spans="1:13">
      <c r="A74" s="38"/>
      <c r="B74" s="37" t="s">
        <v>82</v>
      </c>
      <c r="C74" s="37">
        <v>40000</v>
      </c>
      <c r="D74" s="37" t="s">
        <v>55</v>
      </c>
      <c r="E74" s="37">
        <v>60.68</v>
      </c>
      <c r="F74" s="37" t="s">
        <v>122</v>
      </c>
      <c r="G74" s="37"/>
      <c r="H74" s="32"/>
      <c r="I74" s="32"/>
      <c r="J74" s="32"/>
      <c r="K74" s="32"/>
      <c r="L74" s="32"/>
      <c r="M74" s="32"/>
    </row>
    <row r="75" s="2" customFormat="1" ht="20.1" customHeight="1" spans="1:13">
      <c r="A75" s="38"/>
      <c r="B75" s="35" t="s">
        <v>78</v>
      </c>
      <c r="C75" s="35">
        <v>60000</v>
      </c>
      <c r="D75" s="35" t="s">
        <v>55</v>
      </c>
      <c r="E75" s="35">
        <v>60.52</v>
      </c>
      <c r="F75" s="35" t="s">
        <v>123</v>
      </c>
      <c r="G75" s="35" t="s">
        <v>83</v>
      </c>
      <c r="H75" s="32"/>
      <c r="I75" s="32"/>
      <c r="J75" s="32"/>
      <c r="K75" s="32"/>
      <c r="L75" s="32"/>
      <c r="M75" s="32"/>
    </row>
    <row r="76" s="2" customFormat="1" ht="20.1" customHeight="1" spans="1:13">
      <c r="A76" s="38"/>
      <c r="B76" s="35" t="s">
        <v>74</v>
      </c>
      <c r="C76" s="35">
        <v>80000</v>
      </c>
      <c r="D76" s="35" t="s">
        <v>11</v>
      </c>
      <c r="E76" s="35">
        <v>60.9</v>
      </c>
      <c r="F76" s="35" t="s">
        <v>80</v>
      </c>
      <c r="G76" s="35" t="s">
        <v>81</v>
      </c>
      <c r="H76" s="32"/>
      <c r="I76" s="32"/>
      <c r="J76" s="32"/>
      <c r="K76" s="32"/>
      <c r="L76" s="32"/>
      <c r="M76" s="32"/>
    </row>
    <row r="77" s="2" customFormat="1" ht="20.1" customHeight="1" spans="1:13">
      <c r="A77" s="38"/>
      <c r="B77" s="35" t="s">
        <v>74</v>
      </c>
      <c r="C77" s="35">
        <v>80000</v>
      </c>
      <c r="D77" s="35" t="s">
        <v>38</v>
      </c>
      <c r="E77" s="35">
        <v>61.06</v>
      </c>
      <c r="F77" s="35" t="s">
        <v>124</v>
      </c>
      <c r="G77" s="35" t="s">
        <v>125</v>
      </c>
      <c r="H77" s="32"/>
      <c r="I77" s="32"/>
      <c r="J77" s="32"/>
      <c r="K77" s="32"/>
      <c r="L77" s="32"/>
      <c r="M77" s="32"/>
    </row>
    <row r="78" s="1" customFormat="1" ht="20.1" customHeight="1" spans="1:13">
      <c r="A78" s="26"/>
      <c r="B78" s="26" t="s">
        <v>69</v>
      </c>
      <c r="C78" s="26">
        <f>SUM(C48:C77)</f>
        <v>1377400</v>
      </c>
      <c r="D78" s="26"/>
      <c r="E78" s="27"/>
      <c r="F78" s="27"/>
      <c r="G78" s="26"/>
      <c r="H78" s="12"/>
      <c r="I78" s="12"/>
      <c r="J78" s="12"/>
      <c r="K78" s="12"/>
      <c r="L78" s="12"/>
      <c r="M78" s="12"/>
    </row>
    <row r="79" s="4" customFormat="1" ht="20.1" customHeight="1" spans="1:13">
      <c r="A79" s="28" t="s">
        <v>126</v>
      </c>
      <c r="B79" s="39" t="s">
        <v>25</v>
      </c>
      <c r="C79" s="39">
        <v>90000</v>
      </c>
      <c r="D79" s="40" t="s">
        <v>11</v>
      </c>
      <c r="E79" s="39">
        <v>60.31</v>
      </c>
      <c r="F79" s="29" t="s">
        <v>127</v>
      </c>
      <c r="G79" s="29"/>
      <c r="H79" s="32"/>
      <c r="I79" s="32"/>
      <c r="J79" s="32"/>
      <c r="K79" s="32"/>
      <c r="L79" s="32"/>
      <c r="M79" s="32"/>
    </row>
    <row r="80" s="4" customFormat="1" ht="20.1" customHeight="1" spans="1:13">
      <c r="A80" s="28"/>
      <c r="B80" s="39" t="s">
        <v>90</v>
      </c>
      <c r="C80" s="39">
        <v>10000</v>
      </c>
      <c r="D80" s="40" t="s">
        <v>11</v>
      </c>
      <c r="E80" s="39">
        <v>60.24</v>
      </c>
      <c r="F80" s="29" t="s">
        <v>128</v>
      </c>
      <c r="G80" s="29"/>
      <c r="H80" s="32"/>
      <c r="I80" s="32"/>
      <c r="J80" s="32"/>
      <c r="K80" s="32"/>
      <c r="L80" s="32"/>
      <c r="M80" s="32"/>
    </row>
    <row r="81" s="4" customFormat="1" ht="20.1" customHeight="1" spans="1:13">
      <c r="A81" s="28"/>
      <c r="B81" s="39" t="s">
        <v>129</v>
      </c>
      <c r="C81" s="39">
        <v>90000</v>
      </c>
      <c r="D81" s="40" t="s">
        <v>11</v>
      </c>
      <c r="E81" s="39">
        <v>59.77</v>
      </c>
      <c r="F81" s="29" t="s">
        <v>130</v>
      </c>
      <c r="G81" s="29"/>
      <c r="H81" s="32"/>
      <c r="I81" s="32"/>
      <c r="J81" s="32"/>
      <c r="K81" s="32"/>
      <c r="L81" s="32"/>
      <c r="M81" s="32"/>
    </row>
    <row r="82" s="4" customFormat="1" ht="20.1" customHeight="1" spans="1:13">
      <c r="A82" s="28"/>
      <c r="B82" s="39" t="s">
        <v>131</v>
      </c>
      <c r="C82" s="39">
        <v>190000</v>
      </c>
      <c r="D82" s="40" t="s">
        <v>11</v>
      </c>
      <c r="E82" s="39">
        <v>60.38</v>
      </c>
      <c r="F82" s="29" t="s">
        <v>132</v>
      </c>
      <c r="G82" s="29"/>
      <c r="H82" s="32"/>
      <c r="I82" s="32"/>
      <c r="J82" s="32"/>
      <c r="K82" s="32"/>
      <c r="L82" s="32"/>
      <c r="M82" s="32"/>
    </row>
    <row r="83" s="4" customFormat="1" ht="20.1" customHeight="1" spans="1:13">
      <c r="A83" s="28"/>
      <c r="B83" s="39" t="s">
        <v>133</v>
      </c>
      <c r="C83" s="39">
        <v>10000</v>
      </c>
      <c r="D83" s="40" t="s">
        <v>11</v>
      </c>
      <c r="E83" s="39">
        <v>59.77</v>
      </c>
      <c r="F83" s="29" t="s">
        <v>130</v>
      </c>
      <c r="G83" s="29"/>
      <c r="H83" s="32"/>
      <c r="I83" s="32"/>
      <c r="J83" s="32"/>
      <c r="K83" s="32"/>
      <c r="L83" s="32"/>
      <c r="M83" s="32"/>
    </row>
    <row r="84" s="4" customFormat="1" ht="20.1" customHeight="1" spans="1:13">
      <c r="A84" s="28"/>
      <c r="B84" s="39" t="s">
        <v>134</v>
      </c>
      <c r="C84" s="39">
        <v>200000</v>
      </c>
      <c r="D84" s="40" t="s">
        <v>11</v>
      </c>
      <c r="E84" s="39"/>
      <c r="F84" s="29" t="s">
        <v>135</v>
      </c>
      <c r="G84" s="29"/>
      <c r="H84" s="32"/>
      <c r="I84" s="32"/>
      <c r="J84" s="32"/>
      <c r="K84" s="32"/>
      <c r="L84" s="32"/>
      <c r="M84" s="32"/>
    </row>
    <row r="85" s="4" customFormat="1" ht="20.1" customHeight="1" spans="1:13">
      <c r="A85" s="28"/>
      <c r="B85" s="39" t="s">
        <v>134</v>
      </c>
      <c r="C85" s="39">
        <v>80000</v>
      </c>
      <c r="D85" s="40" t="s">
        <v>11</v>
      </c>
      <c r="E85" s="39">
        <v>60.34</v>
      </c>
      <c r="F85" s="29" t="s">
        <v>136</v>
      </c>
      <c r="G85" s="29"/>
      <c r="H85" s="32"/>
      <c r="I85" s="32"/>
      <c r="J85" s="32"/>
      <c r="K85" s="32"/>
      <c r="L85" s="32"/>
      <c r="M85" s="32"/>
    </row>
    <row r="86" s="4" customFormat="1" ht="20.1" customHeight="1" spans="1:13">
      <c r="A86" s="28"/>
      <c r="B86" s="39" t="s">
        <v>59</v>
      </c>
      <c r="C86" s="39">
        <v>120000</v>
      </c>
      <c r="D86" s="40" t="s">
        <v>11</v>
      </c>
      <c r="E86" s="39"/>
      <c r="F86" s="29" t="s">
        <v>137</v>
      </c>
      <c r="G86" s="29"/>
      <c r="H86" s="32"/>
      <c r="I86" s="32"/>
      <c r="J86" s="32"/>
      <c r="K86" s="32"/>
      <c r="L86" s="32"/>
      <c r="M86" s="32"/>
    </row>
    <row r="87" s="4" customFormat="1" ht="20.1" customHeight="1" spans="1:13">
      <c r="A87" s="28"/>
      <c r="B87" s="39" t="s">
        <v>138</v>
      </c>
      <c r="C87" s="39">
        <v>8000</v>
      </c>
      <c r="D87" s="40" t="s">
        <v>11</v>
      </c>
      <c r="E87" s="39">
        <v>60.53</v>
      </c>
      <c r="F87" s="29" t="s">
        <v>139</v>
      </c>
      <c r="G87" s="29"/>
      <c r="H87" s="32"/>
      <c r="I87" s="32"/>
      <c r="J87" s="32"/>
      <c r="K87" s="32"/>
      <c r="L87" s="32"/>
      <c r="M87" s="32"/>
    </row>
    <row r="88" s="4" customFormat="1" ht="20.1" customHeight="1" spans="1:13">
      <c r="A88" s="28"/>
      <c r="B88" s="39" t="s">
        <v>21</v>
      </c>
      <c r="C88" s="39">
        <v>110000</v>
      </c>
      <c r="D88" s="40" t="s">
        <v>38</v>
      </c>
      <c r="E88" s="39"/>
      <c r="F88" s="29" t="s">
        <v>130</v>
      </c>
      <c r="G88" s="29"/>
      <c r="H88" s="32"/>
      <c r="I88" s="32"/>
      <c r="J88" s="32"/>
      <c r="K88" s="32"/>
      <c r="L88" s="32"/>
      <c r="M88" s="32"/>
    </row>
    <row r="89" s="4" customFormat="1" ht="20.1" customHeight="1" spans="1:13">
      <c r="A89" s="28"/>
      <c r="B89" s="39" t="s">
        <v>59</v>
      </c>
      <c r="C89" s="39">
        <v>90000</v>
      </c>
      <c r="D89" s="40" t="s">
        <v>38</v>
      </c>
      <c r="E89" s="39"/>
      <c r="F89" s="29" t="s">
        <v>140</v>
      </c>
      <c r="G89" s="29"/>
      <c r="H89" s="32"/>
      <c r="I89" s="32"/>
      <c r="J89" s="32"/>
      <c r="K89" s="32"/>
      <c r="L89" s="32"/>
      <c r="M89" s="32"/>
    </row>
    <row r="90" s="4" customFormat="1" ht="20.1" customHeight="1" spans="1:13">
      <c r="A90" s="28"/>
      <c r="B90" s="39" t="s">
        <v>141</v>
      </c>
      <c r="C90" s="39">
        <v>90000</v>
      </c>
      <c r="D90" s="40" t="s">
        <v>50</v>
      </c>
      <c r="E90" s="39">
        <v>60.34</v>
      </c>
      <c r="F90" s="29" t="s">
        <v>142</v>
      </c>
      <c r="G90" s="29"/>
      <c r="H90" s="32"/>
      <c r="I90" s="32"/>
      <c r="J90" s="32"/>
      <c r="K90" s="32"/>
      <c r="L90" s="32"/>
      <c r="M90" s="32"/>
    </row>
    <row r="91" s="4" customFormat="1" ht="20.1" customHeight="1" spans="1:13">
      <c r="A91" s="28"/>
      <c r="B91" s="39" t="s">
        <v>115</v>
      </c>
      <c r="C91" s="39">
        <v>20000</v>
      </c>
      <c r="D91" s="40" t="s">
        <v>50</v>
      </c>
      <c r="E91" s="39">
        <v>60.73</v>
      </c>
      <c r="F91" s="29" t="s">
        <v>143</v>
      </c>
      <c r="G91" s="29"/>
      <c r="H91" s="32"/>
      <c r="I91" s="32"/>
      <c r="J91" s="32"/>
      <c r="K91" s="32"/>
      <c r="L91" s="32"/>
      <c r="M91" s="32"/>
    </row>
    <row r="92" s="4" customFormat="1" ht="20.1" customHeight="1" spans="1:13">
      <c r="A92" s="28"/>
      <c r="B92" s="39" t="s">
        <v>144</v>
      </c>
      <c r="C92" s="39">
        <v>15000</v>
      </c>
      <c r="D92" s="40" t="s">
        <v>50</v>
      </c>
      <c r="E92" s="39">
        <v>60.73</v>
      </c>
      <c r="F92" s="29" t="s">
        <v>143</v>
      </c>
      <c r="G92" s="29"/>
      <c r="H92" s="32"/>
      <c r="I92" s="32"/>
      <c r="J92" s="32"/>
      <c r="K92" s="32"/>
      <c r="L92" s="32"/>
      <c r="M92" s="32"/>
    </row>
    <row r="93" s="4" customFormat="1" ht="20.1" customHeight="1" spans="1:13">
      <c r="A93" s="28"/>
      <c r="B93" s="39" t="s">
        <v>131</v>
      </c>
      <c r="C93" s="39">
        <v>50000</v>
      </c>
      <c r="D93" s="40" t="s">
        <v>55</v>
      </c>
      <c r="E93" s="39">
        <v>60.56</v>
      </c>
      <c r="F93" s="29" t="s">
        <v>145</v>
      </c>
      <c r="G93" s="29"/>
      <c r="H93" s="32"/>
      <c r="I93" s="32"/>
      <c r="J93" s="32"/>
      <c r="K93" s="32"/>
      <c r="L93" s="32"/>
      <c r="M93" s="32"/>
    </row>
    <row r="94" s="4" customFormat="1" ht="20.1" customHeight="1" spans="1:13">
      <c r="A94" s="28"/>
      <c r="B94" s="39" t="s">
        <v>131</v>
      </c>
      <c r="C94" s="39">
        <v>150000</v>
      </c>
      <c r="D94" s="40" t="s">
        <v>55</v>
      </c>
      <c r="E94" s="39">
        <v>60.87</v>
      </c>
      <c r="F94" s="29" t="s">
        <v>146</v>
      </c>
      <c r="G94" s="29"/>
      <c r="H94" s="32"/>
      <c r="I94" s="32"/>
      <c r="J94" s="32"/>
      <c r="K94" s="32"/>
      <c r="L94" s="32"/>
      <c r="M94" s="32"/>
    </row>
    <row r="95" s="1" customFormat="1" ht="20.1" customHeight="1" spans="1:13">
      <c r="A95" s="26"/>
      <c r="B95" s="26" t="s">
        <v>69</v>
      </c>
      <c r="C95" s="26">
        <f>SUM(C79:C94)</f>
        <v>1323000</v>
      </c>
      <c r="D95" s="26"/>
      <c r="E95" s="27"/>
      <c r="F95" s="27"/>
      <c r="G95" s="26"/>
      <c r="H95" s="12"/>
      <c r="I95" s="12"/>
      <c r="J95" s="12"/>
      <c r="K95" s="12"/>
      <c r="L95" s="12"/>
      <c r="M95" s="12"/>
    </row>
    <row r="96" ht="20.1" customHeight="1" spans="1:13">
      <c r="A96" s="41"/>
      <c r="B96" s="42" t="s">
        <v>147</v>
      </c>
      <c r="C96" s="43"/>
      <c r="D96" s="43"/>
      <c r="E96" s="44"/>
      <c r="F96" s="45"/>
      <c r="G96" s="42"/>
    </row>
    <row r="97" s="6" customFormat="1" ht="20.1" customHeight="1" spans="1:13">
      <c r="A97" s="46" t="s">
        <v>148</v>
      </c>
      <c r="B97" s="47" t="s">
        <v>25</v>
      </c>
      <c r="C97" s="39">
        <v>40000</v>
      </c>
      <c r="D97" s="39" t="s">
        <v>11</v>
      </c>
      <c r="E97" s="39">
        <v>62.08</v>
      </c>
      <c r="F97" s="37" t="s">
        <v>149</v>
      </c>
      <c r="G97" s="30"/>
      <c r="H97" s="48"/>
      <c r="I97" s="48"/>
      <c r="J97" s="48"/>
      <c r="K97" s="48"/>
      <c r="L97" s="48"/>
      <c r="M97" s="48"/>
    </row>
    <row r="98" s="1" customFormat="1" ht="20.1" customHeight="1" spans="1:13">
      <c r="A98" s="26"/>
      <c r="B98" s="26" t="s">
        <v>150</v>
      </c>
      <c r="C98" s="26">
        <f>SUM(C97)</f>
        <v>40000</v>
      </c>
      <c r="D98" s="26"/>
      <c r="E98" s="27"/>
      <c r="F98" s="27"/>
      <c r="G98" s="26"/>
      <c r="H98" s="12"/>
      <c r="I98" s="12"/>
      <c r="J98" s="12"/>
      <c r="K98" s="12"/>
      <c r="L98" s="12"/>
      <c r="M98" s="12"/>
    </row>
    <row r="99" s="7" customFormat="1" ht="20.1" customHeight="1" spans="1:13">
      <c r="A99" s="28" t="s">
        <v>151</v>
      </c>
      <c r="B99" s="49" t="s">
        <v>25</v>
      </c>
      <c r="C99" s="50">
        <v>100000</v>
      </c>
      <c r="D99" s="50" t="s">
        <v>11</v>
      </c>
      <c r="E99" s="50">
        <v>62.44</v>
      </c>
      <c r="F99" s="29" t="s">
        <v>152</v>
      </c>
      <c r="G99" s="51"/>
      <c r="H99" s="52"/>
      <c r="I99" s="52"/>
      <c r="J99" s="52"/>
      <c r="K99" s="52"/>
      <c r="L99" s="52"/>
      <c r="M99" s="52"/>
    </row>
    <row r="100" s="7" customFormat="1" ht="20.1" customHeight="1" spans="1:13">
      <c r="A100" s="28"/>
      <c r="B100" s="49" t="s">
        <v>131</v>
      </c>
      <c r="C100" s="50">
        <v>190000</v>
      </c>
      <c r="D100" s="50" t="s">
        <v>11</v>
      </c>
      <c r="E100" s="50">
        <v>61.95</v>
      </c>
      <c r="F100" s="29" t="s">
        <v>153</v>
      </c>
      <c r="G100" s="51"/>
      <c r="H100" s="52"/>
      <c r="I100" s="52"/>
      <c r="J100" s="52"/>
      <c r="K100" s="52"/>
      <c r="L100" s="52"/>
      <c r="M100" s="52"/>
    </row>
    <row r="101" s="7" customFormat="1" ht="20.1" customHeight="1" spans="1:13">
      <c r="A101" s="28"/>
      <c r="B101" s="49" t="s">
        <v>131</v>
      </c>
      <c r="C101" s="50">
        <v>100000</v>
      </c>
      <c r="D101" s="50" t="s">
        <v>11</v>
      </c>
      <c r="E101" s="50"/>
      <c r="F101" s="29" t="s">
        <v>154</v>
      </c>
      <c r="G101" s="51"/>
      <c r="H101" s="52"/>
      <c r="I101" s="52"/>
      <c r="J101" s="52"/>
      <c r="K101" s="52"/>
      <c r="L101" s="52"/>
      <c r="M101" s="52"/>
    </row>
    <row r="102" s="7" customFormat="1" ht="20.1" customHeight="1" spans="1:13">
      <c r="A102" s="28"/>
      <c r="B102" s="49" t="s">
        <v>131</v>
      </c>
      <c r="C102" s="50">
        <v>120000</v>
      </c>
      <c r="D102" s="50" t="s">
        <v>11</v>
      </c>
      <c r="E102" s="50"/>
      <c r="F102" s="29" t="s">
        <v>155</v>
      </c>
      <c r="G102" s="51"/>
      <c r="H102" s="52"/>
      <c r="I102" s="52"/>
      <c r="J102" s="52"/>
      <c r="K102" s="52"/>
      <c r="L102" s="52"/>
      <c r="M102" s="52"/>
    </row>
    <row r="103" s="7" customFormat="1" ht="20.1" customHeight="1" spans="1:13">
      <c r="A103" s="28"/>
      <c r="B103" s="49" t="s">
        <v>131</v>
      </c>
      <c r="C103" s="50">
        <v>60000</v>
      </c>
      <c r="D103" s="50" t="s">
        <v>38</v>
      </c>
      <c r="E103" s="50"/>
      <c r="F103" s="29" t="s">
        <v>156</v>
      </c>
      <c r="G103" s="51"/>
      <c r="H103" s="52"/>
      <c r="I103" s="52"/>
      <c r="J103" s="52"/>
      <c r="K103" s="52"/>
      <c r="L103" s="52"/>
      <c r="M103" s="52"/>
    </row>
    <row r="104" s="7" customFormat="1" ht="20.1" customHeight="1" spans="1:13">
      <c r="A104" s="28"/>
      <c r="B104" s="49" t="s">
        <v>131</v>
      </c>
      <c r="C104" s="50">
        <v>110000</v>
      </c>
      <c r="D104" s="50" t="s">
        <v>38</v>
      </c>
      <c r="E104" s="50"/>
      <c r="F104" s="29" t="s">
        <v>157</v>
      </c>
      <c r="G104" s="51"/>
      <c r="H104" s="52"/>
      <c r="I104" s="52"/>
      <c r="J104" s="52"/>
      <c r="K104" s="52"/>
      <c r="L104" s="52"/>
      <c r="M104" s="52"/>
    </row>
    <row r="105" s="7" customFormat="1" ht="20.1" customHeight="1" spans="1:13">
      <c r="A105" s="28"/>
      <c r="B105" s="53" t="s">
        <v>78</v>
      </c>
      <c r="C105" s="54">
        <v>80000</v>
      </c>
      <c r="D105" s="54" t="s">
        <v>55</v>
      </c>
      <c r="E105" s="54">
        <v>61.39</v>
      </c>
      <c r="F105" s="34"/>
      <c r="G105" s="34" t="s">
        <v>83</v>
      </c>
      <c r="H105" s="52"/>
      <c r="I105" s="52"/>
      <c r="J105" s="52"/>
      <c r="K105" s="52"/>
      <c r="L105" s="52"/>
      <c r="M105" s="52"/>
    </row>
    <row r="106" s="7" customFormat="1" ht="20.1" customHeight="1" spans="1:13">
      <c r="A106" s="28"/>
      <c r="B106" s="53" t="s">
        <v>131</v>
      </c>
      <c r="C106" s="54">
        <v>120000</v>
      </c>
      <c r="D106" s="54" t="s">
        <v>38</v>
      </c>
      <c r="E106" s="54"/>
      <c r="F106" s="34" t="s">
        <v>130</v>
      </c>
      <c r="G106" s="55" t="s">
        <v>158</v>
      </c>
      <c r="H106" s="52"/>
      <c r="I106" s="52"/>
      <c r="J106" s="52"/>
      <c r="K106" s="52"/>
      <c r="L106" s="52"/>
      <c r="M106" s="52"/>
    </row>
    <row r="107" s="1" customFormat="1" ht="20.1" customHeight="1" spans="1:13">
      <c r="A107" s="26"/>
      <c r="B107" s="26" t="s">
        <v>150</v>
      </c>
      <c r="C107" s="26">
        <f>SUM(C99:C106)</f>
        <v>880000</v>
      </c>
      <c r="D107" s="26"/>
      <c r="E107" s="27"/>
      <c r="F107" s="27"/>
      <c r="G107" s="26"/>
      <c r="H107" s="12"/>
      <c r="I107" s="12"/>
      <c r="J107" s="12"/>
      <c r="K107" s="12"/>
      <c r="L107" s="12"/>
      <c r="M107" s="12"/>
    </row>
    <row r="108" s="8" customFormat="1" ht="20.1" customHeight="1" spans="1:13">
      <c r="A108" s="50" t="s">
        <v>159</v>
      </c>
      <c r="B108" s="49" t="s">
        <v>10</v>
      </c>
      <c r="C108" s="50">
        <v>60000</v>
      </c>
      <c r="D108" s="50" t="s">
        <v>11</v>
      </c>
      <c r="E108" s="50">
        <v>64.4</v>
      </c>
      <c r="F108" s="50" t="s">
        <v>160</v>
      </c>
      <c r="G108" s="51"/>
      <c r="H108" s="31"/>
      <c r="I108" s="31"/>
      <c r="J108" s="31"/>
      <c r="K108" s="31"/>
      <c r="L108" s="31"/>
      <c r="M108" s="31"/>
    </row>
    <row r="109" s="8" customFormat="1" ht="20.1" customHeight="1" spans="1:13">
      <c r="A109" s="50"/>
      <c r="B109" s="49" t="s">
        <v>161</v>
      </c>
      <c r="C109" s="50">
        <v>50000</v>
      </c>
      <c r="D109" s="50" t="s">
        <v>38</v>
      </c>
      <c r="E109" s="50">
        <v>65.02</v>
      </c>
      <c r="F109" s="50" t="s">
        <v>162</v>
      </c>
      <c r="G109" s="51"/>
      <c r="H109" s="31"/>
      <c r="I109" s="31"/>
      <c r="J109" s="31"/>
      <c r="K109" s="31"/>
      <c r="L109" s="31"/>
      <c r="M109" s="31"/>
    </row>
    <row r="110" s="8" customFormat="1" ht="20.1" customHeight="1" spans="1:13">
      <c r="A110" s="50"/>
      <c r="B110" s="49" t="s">
        <v>47</v>
      </c>
      <c r="C110" s="50">
        <v>67000</v>
      </c>
      <c r="D110" s="50" t="s">
        <v>50</v>
      </c>
      <c r="E110" s="50">
        <v>62.75</v>
      </c>
      <c r="F110" s="50" t="s">
        <v>163</v>
      </c>
      <c r="G110" s="51"/>
      <c r="H110" s="31"/>
      <c r="I110" s="31"/>
      <c r="J110" s="31"/>
      <c r="K110" s="31"/>
      <c r="L110" s="31"/>
      <c r="M110" s="31"/>
    </row>
    <row r="111" s="8" customFormat="1" ht="20.1" customHeight="1" spans="1:13">
      <c r="A111" s="50"/>
      <c r="B111" s="49" t="s">
        <v>115</v>
      </c>
      <c r="C111" s="50">
        <v>50000</v>
      </c>
      <c r="D111" s="50" t="s">
        <v>38</v>
      </c>
      <c r="E111" s="50">
        <v>63</v>
      </c>
      <c r="F111" s="50" t="s">
        <v>164</v>
      </c>
      <c r="G111" s="51"/>
      <c r="H111" s="31"/>
      <c r="I111" s="31"/>
      <c r="J111" s="31"/>
      <c r="K111" s="31"/>
      <c r="L111" s="31"/>
      <c r="M111" s="31"/>
    </row>
    <row r="112" s="8" customFormat="1" ht="20.1" customHeight="1" spans="1:13">
      <c r="A112" s="50"/>
      <c r="B112" s="49" t="s">
        <v>47</v>
      </c>
      <c r="C112" s="50">
        <v>29000</v>
      </c>
      <c r="D112" s="50" t="s">
        <v>55</v>
      </c>
      <c r="E112" s="50">
        <v>62.85</v>
      </c>
      <c r="F112" s="50" t="s">
        <v>165</v>
      </c>
      <c r="G112" s="51"/>
      <c r="H112" s="31"/>
      <c r="I112" s="31"/>
      <c r="J112" s="31"/>
      <c r="K112" s="31"/>
      <c r="L112" s="31"/>
      <c r="M112" s="31"/>
    </row>
    <row r="113" s="8" customFormat="1" ht="20.1" customHeight="1" spans="1:13">
      <c r="A113" s="50" t="s">
        <v>166</v>
      </c>
      <c r="B113" s="49" t="s">
        <v>167</v>
      </c>
      <c r="C113" s="50">
        <v>58000</v>
      </c>
      <c r="D113" s="37" t="s">
        <v>11</v>
      </c>
      <c r="E113" s="50">
        <v>66.13</v>
      </c>
      <c r="F113" s="50" t="s">
        <v>168</v>
      </c>
      <c r="G113" s="51"/>
      <c r="H113" s="31"/>
      <c r="I113" s="31"/>
      <c r="J113" s="31"/>
      <c r="K113" s="31"/>
      <c r="L113" s="31"/>
      <c r="M113" s="31"/>
    </row>
    <row r="114" s="8" customFormat="1" ht="20.1" customHeight="1" spans="1:13">
      <c r="A114" s="56" t="s">
        <v>169</v>
      </c>
      <c r="B114" s="49" t="s">
        <v>26</v>
      </c>
      <c r="C114" s="50">
        <v>50000</v>
      </c>
      <c r="D114" s="37" t="s">
        <v>11</v>
      </c>
      <c r="E114" s="50">
        <v>67.03</v>
      </c>
      <c r="F114" s="50" t="s">
        <v>170</v>
      </c>
      <c r="G114" s="51"/>
      <c r="H114" s="31"/>
      <c r="I114" s="31"/>
      <c r="J114" s="31"/>
      <c r="K114" s="31"/>
      <c r="L114" s="31"/>
      <c r="M114" s="31"/>
    </row>
    <row r="115" s="8" customFormat="1" ht="20.1" customHeight="1" spans="1:13">
      <c r="A115" s="56" t="s">
        <v>171</v>
      </c>
      <c r="B115" s="49" t="s">
        <v>172</v>
      </c>
      <c r="C115" s="50">
        <v>8000</v>
      </c>
      <c r="D115" s="37" t="s">
        <v>50</v>
      </c>
      <c r="E115" s="50">
        <v>67.6</v>
      </c>
      <c r="F115" s="50" t="s">
        <v>173</v>
      </c>
      <c r="G115" s="55"/>
      <c r="H115" s="31"/>
      <c r="I115" s="31"/>
      <c r="J115" s="31"/>
      <c r="K115" s="31"/>
      <c r="L115" s="31"/>
      <c r="M115" s="31"/>
    </row>
    <row r="116" s="8" customFormat="1" ht="20.1" customHeight="1" spans="1:13">
      <c r="A116" s="56" t="s">
        <v>174</v>
      </c>
      <c r="B116" s="49" t="s">
        <v>26</v>
      </c>
      <c r="C116" s="50">
        <v>20000</v>
      </c>
      <c r="D116" s="37" t="s">
        <v>11</v>
      </c>
      <c r="E116" s="50">
        <v>64.95</v>
      </c>
      <c r="F116" s="50" t="s">
        <v>175</v>
      </c>
      <c r="G116" s="55"/>
      <c r="H116" s="31"/>
      <c r="I116" s="31"/>
      <c r="J116" s="31"/>
      <c r="K116" s="31"/>
      <c r="L116" s="31"/>
      <c r="M116" s="31"/>
    </row>
    <row r="117" s="8" customFormat="1" ht="20.1" customHeight="1" spans="1:13">
      <c r="A117" s="56" t="s">
        <v>176</v>
      </c>
      <c r="B117" s="49" t="s">
        <v>82</v>
      </c>
      <c r="C117" s="50">
        <v>20000</v>
      </c>
      <c r="D117" s="37" t="s">
        <v>38</v>
      </c>
      <c r="E117" s="50">
        <v>66.86</v>
      </c>
      <c r="F117" s="50" t="s">
        <v>177</v>
      </c>
      <c r="G117" s="55"/>
      <c r="H117" s="31"/>
      <c r="I117" s="31"/>
      <c r="J117" s="31"/>
      <c r="K117" s="31"/>
      <c r="L117" s="31"/>
      <c r="M117" s="31"/>
    </row>
    <row r="118" s="8" customFormat="1" ht="20.1" customHeight="1" spans="1:13">
      <c r="A118" s="38"/>
      <c r="B118" s="49" t="s">
        <v>82</v>
      </c>
      <c r="C118" s="50">
        <v>10000</v>
      </c>
      <c r="D118" s="37" t="s">
        <v>50</v>
      </c>
      <c r="E118" s="50">
        <v>66.86</v>
      </c>
      <c r="F118" s="50" t="s">
        <v>177</v>
      </c>
      <c r="G118" s="55"/>
      <c r="H118" s="31"/>
      <c r="I118" s="31"/>
      <c r="J118" s="31"/>
      <c r="K118" s="31"/>
      <c r="L118" s="31"/>
      <c r="M118" s="31"/>
    </row>
    <row r="119" s="8" customFormat="1" ht="20.1" customHeight="1" spans="1:13">
      <c r="A119" s="56" t="s">
        <v>178</v>
      </c>
      <c r="B119" s="49" t="s">
        <v>102</v>
      </c>
      <c r="C119" s="50">
        <v>38000</v>
      </c>
      <c r="D119" s="37" t="s">
        <v>11</v>
      </c>
      <c r="E119" s="50">
        <v>65.79</v>
      </c>
      <c r="F119" s="50" t="s">
        <v>179</v>
      </c>
      <c r="G119" s="55"/>
      <c r="H119" s="31"/>
      <c r="I119" s="31"/>
      <c r="J119" s="31"/>
      <c r="K119" s="31"/>
      <c r="L119" s="31"/>
      <c r="M119" s="31"/>
    </row>
    <row r="120" s="4" customFormat="1" ht="20.1" customHeight="1" spans="1:13">
      <c r="A120" s="50" t="s">
        <v>180</v>
      </c>
      <c r="B120" s="29" t="s">
        <v>74</v>
      </c>
      <c r="C120" s="50">
        <v>8000</v>
      </c>
      <c r="D120" s="50" t="s">
        <v>50</v>
      </c>
      <c r="E120" s="50">
        <v>64.774</v>
      </c>
      <c r="F120" s="50" t="s">
        <v>181</v>
      </c>
      <c r="G120" s="50"/>
      <c r="H120" s="32"/>
      <c r="I120" s="32"/>
      <c r="J120" s="32"/>
      <c r="K120" s="32"/>
      <c r="L120" s="32"/>
      <c r="M120" s="32"/>
    </row>
    <row r="121" s="4" customFormat="1" ht="20.1" customHeight="1" spans="1:13">
      <c r="A121" s="50"/>
      <c r="B121" s="29" t="s">
        <v>47</v>
      </c>
      <c r="C121" s="50">
        <v>53000</v>
      </c>
      <c r="D121" s="50" t="s">
        <v>50</v>
      </c>
      <c r="E121" s="50">
        <v>64.54</v>
      </c>
      <c r="F121" s="50" t="s">
        <v>182</v>
      </c>
      <c r="G121" s="50"/>
      <c r="H121" s="32"/>
      <c r="I121" s="32"/>
      <c r="J121" s="32"/>
      <c r="K121" s="32"/>
      <c r="L121" s="32"/>
      <c r="M121" s="32"/>
    </row>
    <row r="122" s="4" customFormat="1" ht="20.1" customHeight="1" spans="1:13">
      <c r="A122" s="50"/>
      <c r="B122" s="57" t="s">
        <v>20</v>
      </c>
      <c r="C122" s="56">
        <v>30000</v>
      </c>
      <c r="D122" s="50" t="s">
        <v>55</v>
      </c>
      <c r="E122" s="50">
        <v>63.53</v>
      </c>
      <c r="F122" s="50" t="s">
        <v>183</v>
      </c>
      <c r="G122" s="50"/>
      <c r="H122" s="32"/>
      <c r="I122" s="32"/>
      <c r="J122" s="32"/>
      <c r="K122" s="32"/>
      <c r="L122" s="32"/>
      <c r="M122" s="32"/>
    </row>
    <row r="123" s="1" customFormat="1" ht="20.1" customHeight="1" spans="1:13">
      <c r="A123" s="26"/>
      <c r="B123" s="26" t="s">
        <v>69</v>
      </c>
      <c r="C123" s="26">
        <f>SUM(C108:C122)</f>
        <v>551000</v>
      </c>
      <c r="D123" s="26"/>
      <c r="E123" s="27"/>
      <c r="F123" s="27"/>
      <c r="G123" s="26"/>
      <c r="H123" s="12"/>
      <c r="I123" s="12"/>
      <c r="J123" s="12"/>
      <c r="K123" s="12"/>
      <c r="L123" s="12"/>
      <c r="M123" s="12"/>
    </row>
    <row r="124" s="4" customFormat="1" ht="18.75" customHeight="1" spans="1:13">
      <c r="A124" s="58" t="s">
        <v>184</v>
      </c>
      <c r="B124" s="59" t="s">
        <v>185</v>
      </c>
      <c r="C124" s="60">
        <v>170000</v>
      </c>
      <c r="D124" s="61" t="s">
        <v>11</v>
      </c>
      <c r="E124" s="62">
        <v>65.55</v>
      </c>
      <c r="F124" s="61" t="s">
        <v>186</v>
      </c>
      <c r="G124" s="63"/>
      <c r="H124" s="32"/>
      <c r="I124" s="32"/>
      <c r="J124" s="32"/>
      <c r="K124" s="32"/>
      <c r="L124" s="32"/>
      <c r="M124" s="32"/>
    </row>
    <row r="125" s="4" customFormat="1" ht="18.75" customHeight="1" spans="1:13">
      <c r="A125" s="58"/>
      <c r="B125" s="59" t="s">
        <v>21</v>
      </c>
      <c r="C125" s="60">
        <v>28000</v>
      </c>
      <c r="D125" s="61" t="s">
        <v>38</v>
      </c>
      <c r="E125" s="62">
        <v>65.48</v>
      </c>
      <c r="F125" s="61" t="s">
        <v>187</v>
      </c>
      <c r="G125" s="63"/>
      <c r="H125" s="32"/>
      <c r="I125" s="32"/>
      <c r="J125" s="32"/>
      <c r="K125" s="32"/>
      <c r="L125" s="32"/>
      <c r="M125" s="32"/>
    </row>
    <row r="126" s="4" customFormat="1" ht="18.75" customHeight="1" spans="1:13">
      <c r="A126" s="58"/>
      <c r="B126" s="59" t="s">
        <v>188</v>
      </c>
      <c r="C126" s="60">
        <v>37000</v>
      </c>
      <c r="D126" s="61" t="s">
        <v>38</v>
      </c>
      <c r="E126" s="62">
        <v>65.4</v>
      </c>
      <c r="F126" s="61" t="s">
        <v>189</v>
      </c>
      <c r="G126" s="63"/>
      <c r="H126" s="32"/>
      <c r="I126" s="32"/>
      <c r="J126" s="32"/>
      <c r="K126" s="32"/>
      <c r="L126" s="32"/>
      <c r="M126" s="32"/>
    </row>
    <row r="127" s="2" customFormat="1" ht="18.75" customHeight="1" spans="1:13">
      <c r="A127" s="64"/>
      <c r="B127" s="59" t="s">
        <v>21</v>
      </c>
      <c r="C127" s="60">
        <v>26000</v>
      </c>
      <c r="D127" s="61" t="s">
        <v>38</v>
      </c>
      <c r="E127" s="62">
        <v>65.4</v>
      </c>
      <c r="F127" s="61" t="s">
        <v>189</v>
      </c>
      <c r="G127" s="63"/>
      <c r="H127" s="32"/>
      <c r="I127" s="32"/>
      <c r="J127" s="32"/>
      <c r="K127" s="32"/>
      <c r="L127" s="32"/>
      <c r="M127" s="32"/>
    </row>
    <row r="128" s="4" customFormat="1" ht="18.75" customHeight="1" spans="1:13">
      <c r="A128" s="58"/>
      <c r="B128" s="59" t="s">
        <v>190</v>
      </c>
      <c r="C128" s="60">
        <v>10000</v>
      </c>
      <c r="D128" s="61" t="s">
        <v>38</v>
      </c>
      <c r="E128" s="62">
        <v>65.56</v>
      </c>
      <c r="F128" s="61" t="s">
        <v>191</v>
      </c>
      <c r="G128" s="63"/>
      <c r="H128" s="32"/>
      <c r="I128" s="32"/>
      <c r="J128" s="32"/>
      <c r="K128" s="32"/>
      <c r="L128" s="32"/>
      <c r="M128" s="32"/>
    </row>
    <row r="129" s="4" customFormat="1" ht="18.75" customHeight="1" spans="1:13">
      <c r="A129" s="58"/>
      <c r="B129" s="59" t="s">
        <v>192</v>
      </c>
      <c r="C129" s="60">
        <v>60000</v>
      </c>
      <c r="D129" s="61" t="s">
        <v>38</v>
      </c>
      <c r="E129" s="62">
        <v>65.9</v>
      </c>
      <c r="F129" s="61" t="s">
        <v>193</v>
      </c>
      <c r="G129" s="63"/>
      <c r="H129" s="32"/>
      <c r="I129" s="32"/>
      <c r="J129" s="32"/>
      <c r="K129" s="32"/>
      <c r="L129" s="32"/>
      <c r="M129" s="32"/>
    </row>
    <row r="130" s="4" customFormat="1" ht="18.75" customHeight="1" spans="1:13">
      <c r="A130" s="58"/>
      <c r="B130" s="59" t="s">
        <v>107</v>
      </c>
      <c r="C130" s="60">
        <v>60000</v>
      </c>
      <c r="D130" s="61" t="s">
        <v>38</v>
      </c>
      <c r="E130" s="62">
        <v>65.9</v>
      </c>
      <c r="F130" s="61" t="s">
        <v>193</v>
      </c>
      <c r="G130" s="63"/>
      <c r="H130" s="32"/>
      <c r="I130" s="32"/>
      <c r="J130" s="32"/>
      <c r="K130" s="32"/>
      <c r="L130" s="32"/>
      <c r="M130" s="32"/>
    </row>
    <row r="131" s="4" customFormat="1" ht="18.75" customHeight="1" spans="1:13">
      <c r="A131" s="58"/>
      <c r="B131" s="59" t="s">
        <v>23</v>
      </c>
      <c r="C131" s="60">
        <v>50000</v>
      </c>
      <c r="D131" s="61" t="s">
        <v>38</v>
      </c>
      <c r="E131" s="62">
        <v>65.9</v>
      </c>
      <c r="F131" s="61" t="s">
        <v>193</v>
      </c>
      <c r="G131" s="63"/>
      <c r="H131" s="32"/>
      <c r="I131" s="32"/>
      <c r="J131" s="32"/>
      <c r="K131" s="32"/>
      <c r="L131" s="32"/>
      <c r="M131" s="32"/>
    </row>
    <row r="132" s="4" customFormat="1" ht="18.75" customHeight="1" spans="1:13">
      <c r="A132" s="58"/>
      <c r="B132" s="59" t="s">
        <v>194</v>
      </c>
      <c r="C132" s="60">
        <v>20000</v>
      </c>
      <c r="D132" s="61" t="s">
        <v>38</v>
      </c>
      <c r="E132" s="62">
        <v>66.01</v>
      </c>
      <c r="F132" s="61" t="s">
        <v>195</v>
      </c>
      <c r="G132" s="63"/>
      <c r="H132" s="32"/>
      <c r="I132" s="32"/>
      <c r="J132" s="32"/>
      <c r="K132" s="32"/>
      <c r="L132" s="32"/>
      <c r="M132" s="32"/>
    </row>
    <row r="133" s="4" customFormat="1" ht="18.75" customHeight="1" spans="1:13">
      <c r="A133" s="58"/>
      <c r="B133" s="59" t="s">
        <v>196</v>
      </c>
      <c r="C133" s="60">
        <v>15000</v>
      </c>
      <c r="D133" s="61" t="s">
        <v>38</v>
      </c>
      <c r="E133" s="62">
        <v>65.45</v>
      </c>
      <c r="F133" s="61" t="s">
        <v>197</v>
      </c>
      <c r="G133" s="63"/>
      <c r="H133" s="32"/>
      <c r="I133" s="32"/>
      <c r="J133" s="32"/>
      <c r="K133" s="32"/>
      <c r="L133" s="32"/>
      <c r="M133" s="32"/>
    </row>
    <row r="134" s="4" customFormat="1" ht="18.75" customHeight="1" spans="1:13">
      <c r="A134" s="58"/>
      <c r="B134" s="59" t="s">
        <v>16</v>
      </c>
      <c r="C134" s="60">
        <v>10000</v>
      </c>
      <c r="D134" s="61" t="s">
        <v>38</v>
      </c>
      <c r="E134" s="62">
        <v>65.45</v>
      </c>
      <c r="F134" s="61" t="s">
        <v>197</v>
      </c>
      <c r="G134" s="63"/>
      <c r="H134" s="32"/>
      <c r="I134" s="32"/>
      <c r="J134" s="32"/>
      <c r="K134" s="32"/>
      <c r="L134" s="32"/>
      <c r="M134" s="32"/>
    </row>
    <row r="135" s="4" customFormat="1" ht="18.75" customHeight="1" spans="1:13">
      <c r="A135" s="58"/>
      <c r="B135" s="59" t="s">
        <v>198</v>
      </c>
      <c r="C135" s="60">
        <v>20000</v>
      </c>
      <c r="D135" s="61" t="s">
        <v>38</v>
      </c>
      <c r="E135" s="62">
        <v>65.45</v>
      </c>
      <c r="F135" s="61" t="s">
        <v>197</v>
      </c>
      <c r="G135" s="63"/>
      <c r="H135" s="32"/>
      <c r="I135" s="32"/>
      <c r="J135" s="32"/>
      <c r="K135" s="32"/>
      <c r="L135" s="32"/>
      <c r="M135" s="32"/>
    </row>
    <row r="136" s="4" customFormat="1" ht="18.75" customHeight="1" spans="1:13">
      <c r="A136" s="58"/>
      <c r="B136" s="59" t="s">
        <v>194</v>
      </c>
      <c r="C136" s="60">
        <v>20000</v>
      </c>
      <c r="D136" s="61" t="s">
        <v>38</v>
      </c>
      <c r="E136" s="62">
        <v>65.04</v>
      </c>
      <c r="F136" s="61" t="s">
        <v>199</v>
      </c>
      <c r="G136" s="63"/>
      <c r="H136" s="32"/>
      <c r="I136" s="32"/>
      <c r="J136" s="32"/>
      <c r="K136" s="32"/>
      <c r="L136" s="32"/>
      <c r="M136" s="32"/>
    </row>
    <row r="137" s="4" customFormat="1" ht="18.75" customHeight="1" spans="1:13">
      <c r="A137" s="58"/>
      <c r="B137" s="59" t="s">
        <v>200</v>
      </c>
      <c r="C137" s="60">
        <v>6000</v>
      </c>
      <c r="D137" s="61" t="s">
        <v>38</v>
      </c>
      <c r="E137" s="62">
        <v>65.61</v>
      </c>
      <c r="F137" s="61" t="s">
        <v>199</v>
      </c>
      <c r="G137" s="63"/>
      <c r="H137" s="32"/>
      <c r="I137" s="32"/>
      <c r="J137" s="32"/>
      <c r="K137" s="32"/>
      <c r="L137" s="32"/>
      <c r="M137" s="32"/>
    </row>
    <row r="138" s="4" customFormat="1" ht="18.75" customHeight="1" spans="1:13">
      <c r="A138" s="58"/>
      <c r="B138" s="59" t="s">
        <v>200</v>
      </c>
      <c r="C138" s="60">
        <v>100000</v>
      </c>
      <c r="D138" s="61" t="s">
        <v>38</v>
      </c>
      <c r="E138" s="62">
        <v>68.08</v>
      </c>
      <c r="F138" s="61" t="s">
        <v>201</v>
      </c>
      <c r="G138" s="63"/>
      <c r="H138" s="32"/>
      <c r="I138" s="32"/>
      <c r="J138" s="32"/>
      <c r="K138" s="32"/>
      <c r="L138" s="32"/>
      <c r="M138" s="32"/>
    </row>
    <row r="139" s="4" customFormat="1" ht="18.75" customHeight="1" spans="1:13">
      <c r="A139" s="58"/>
      <c r="B139" s="59" t="s">
        <v>21</v>
      </c>
      <c r="C139" s="60">
        <v>58000</v>
      </c>
      <c r="D139" s="61" t="s">
        <v>38</v>
      </c>
      <c r="E139" s="62">
        <v>68</v>
      </c>
      <c r="F139" s="61" t="s">
        <v>202</v>
      </c>
      <c r="G139" s="63"/>
      <c r="H139" s="32"/>
      <c r="I139" s="32"/>
      <c r="J139" s="32"/>
      <c r="K139" s="32"/>
      <c r="L139" s="32"/>
      <c r="M139" s="32"/>
    </row>
    <row r="140" s="4" customFormat="1" ht="18.75" customHeight="1" spans="1:13">
      <c r="A140" s="58"/>
      <c r="B140" s="59" t="s">
        <v>21</v>
      </c>
      <c r="C140" s="60">
        <v>47000</v>
      </c>
      <c r="D140" s="61" t="s">
        <v>38</v>
      </c>
      <c r="E140" s="62">
        <v>65.6</v>
      </c>
      <c r="F140" s="61" t="s">
        <v>202</v>
      </c>
      <c r="G140" s="63"/>
      <c r="H140" s="32"/>
      <c r="I140" s="32"/>
      <c r="J140" s="32"/>
      <c r="K140" s="32"/>
      <c r="L140" s="32"/>
      <c r="M140" s="32"/>
    </row>
    <row r="141" s="4" customFormat="1" ht="18.75" customHeight="1" spans="1:13">
      <c r="A141" s="58"/>
      <c r="B141" s="59" t="s">
        <v>192</v>
      </c>
      <c r="C141" s="60">
        <v>50000</v>
      </c>
      <c r="D141" s="61" t="s">
        <v>50</v>
      </c>
      <c r="E141" s="62">
        <v>65.88</v>
      </c>
      <c r="F141" s="61" t="s">
        <v>203</v>
      </c>
      <c r="G141" s="63"/>
      <c r="H141" s="32"/>
      <c r="I141" s="32"/>
      <c r="J141" s="32"/>
      <c r="K141" s="32"/>
      <c r="L141" s="32"/>
      <c r="M141" s="32"/>
    </row>
    <row r="142" s="4" customFormat="1" ht="18.75" customHeight="1" spans="1:13">
      <c r="A142" s="58"/>
      <c r="B142" s="59" t="s">
        <v>47</v>
      </c>
      <c r="C142" s="60">
        <v>87000</v>
      </c>
      <c r="D142" s="61" t="s">
        <v>50</v>
      </c>
      <c r="E142" s="62">
        <v>65.58</v>
      </c>
      <c r="F142" s="61" t="s">
        <v>204</v>
      </c>
      <c r="G142" s="63"/>
      <c r="H142" s="32"/>
      <c r="I142" s="32"/>
      <c r="J142" s="32"/>
      <c r="K142" s="32"/>
      <c r="L142" s="32"/>
      <c r="M142" s="32"/>
    </row>
    <row r="143" s="4" customFormat="1" ht="18.75" customHeight="1" spans="1:13">
      <c r="A143" s="58"/>
      <c r="B143" s="59" t="s">
        <v>20</v>
      </c>
      <c r="C143" s="60">
        <v>60000</v>
      </c>
      <c r="D143" s="61" t="s">
        <v>55</v>
      </c>
      <c r="E143" s="62">
        <v>65.85</v>
      </c>
      <c r="F143" s="61" t="s">
        <v>205</v>
      </c>
      <c r="G143" s="63"/>
      <c r="H143" s="32"/>
      <c r="I143" s="32"/>
      <c r="J143" s="32"/>
      <c r="K143" s="32"/>
      <c r="L143" s="32"/>
      <c r="M143" s="32"/>
    </row>
    <row r="144" s="4" customFormat="1" ht="18.75" customHeight="1" spans="1:13">
      <c r="A144" s="58"/>
      <c r="B144" s="59" t="s">
        <v>47</v>
      </c>
      <c r="C144" s="60">
        <v>22000</v>
      </c>
      <c r="D144" s="61" t="s">
        <v>55</v>
      </c>
      <c r="E144" s="62">
        <v>65.71</v>
      </c>
      <c r="F144" s="61" t="s">
        <v>206</v>
      </c>
      <c r="G144" s="63"/>
      <c r="H144" s="32"/>
      <c r="I144" s="32"/>
      <c r="J144" s="32"/>
      <c r="K144" s="32"/>
      <c r="L144" s="32"/>
      <c r="M144" s="32"/>
    </row>
    <row r="145" s="4" customFormat="1" ht="18.75" customHeight="1" spans="1:13">
      <c r="A145" s="58"/>
      <c r="B145" s="59" t="s">
        <v>47</v>
      </c>
      <c r="C145" s="60">
        <v>75000</v>
      </c>
      <c r="D145" s="61" t="s">
        <v>55</v>
      </c>
      <c r="E145" s="62">
        <v>66.14</v>
      </c>
      <c r="F145" s="61" t="s">
        <v>207</v>
      </c>
      <c r="G145" s="63"/>
      <c r="H145" s="32"/>
      <c r="I145" s="32"/>
      <c r="J145" s="32"/>
      <c r="K145" s="32"/>
      <c r="L145" s="32"/>
      <c r="M145" s="32"/>
    </row>
    <row r="146" s="4" customFormat="1" ht="18.75" customHeight="1" spans="1:13">
      <c r="A146" s="58"/>
      <c r="B146" s="59" t="s">
        <v>208</v>
      </c>
      <c r="C146" s="60">
        <v>150000</v>
      </c>
      <c r="D146" s="61" t="s">
        <v>55</v>
      </c>
      <c r="E146" s="62">
        <v>65.5</v>
      </c>
      <c r="F146" s="61" t="s">
        <v>209</v>
      </c>
      <c r="G146" s="63"/>
      <c r="H146" s="32"/>
      <c r="I146" s="32"/>
      <c r="J146" s="32"/>
      <c r="K146" s="32"/>
      <c r="L146" s="32"/>
      <c r="M146" s="32"/>
    </row>
    <row r="147" s="4" customFormat="1" ht="18.75" customHeight="1" spans="1:13">
      <c r="A147" s="58"/>
      <c r="B147" s="65" t="s">
        <v>110</v>
      </c>
      <c r="C147" s="66">
        <v>130000</v>
      </c>
      <c r="D147" s="67" t="s">
        <v>50</v>
      </c>
      <c r="E147" s="68">
        <v>65.63</v>
      </c>
      <c r="F147" s="67" t="s">
        <v>210</v>
      </c>
      <c r="G147" s="69" t="s">
        <v>63</v>
      </c>
      <c r="H147" s="32"/>
      <c r="I147" s="32"/>
      <c r="J147" s="32"/>
      <c r="K147" s="32"/>
      <c r="L147" s="32"/>
      <c r="M147" s="32"/>
    </row>
    <row r="148" s="4" customFormat="1" ht="18.75" customHeight="1" spans="1:13">
      <c r="A148" s="58"/>
      <c r="B148" s="65" t="s">
        <v>211</v>
      </c>
      <c r="C148" s="66">
        <v>40000</v>
      </c>
      <c r="D148" s="67" t="s">
        <v>50</v>
      </c>
      <c r="E148" s="68">
        <v>67.82</v>
      </c>
      <c r="F148" s="67" t="s">
        <v>210</v>
      </c>
      <c r="G148" s="69" t="s">
        <v>63</v>
      </c>
      <c r="H148" s="32"/>
      <c r="I148" s="32"/>
      <c r="J148" s="32"/>
      <c r="K148" s="32"/>
      <c r="L148" s="32"/>
      <c r="M148" s="32"/>
    </row>
    <row r="149" s="1" customFormat="1" ht="20.1" customHeight="1" spans="1:13">
      <c r="A149" s="26"/>
      <c r="B149" s="26" t="s">
        <v>69</v>
      </c>
      <c r="C149" s="26">
        <f>SUM(C124:C148)</f>
        <v>1351000</v>
      </c>
      <c r="D149" s="26"/>
      <c r="E149" s="27"/>
      <c r="F149" s="27"/>
      <c r="G149" s="70"/>
      <c r="H149" s="12"/>
      <c r="I149" s="12"/>
      <c r="J149" s="12"/>
      <c r="K149" s="12"/>
      <c r="L149" s="12"/>
      <c r="M149" s="12"/>
    </row>
    <row r="150" s="5" customFormat="1" ht="20.1" customHeight="1" spans="1:13">
      <c r="A150" s="57" t="s">
        <v>212</v>
      </c>
      <c r="B150" s="71" t="s">
        <v>32</v>
      </c>
      <c r="C150" s="40">
        <v>90000</v>
      </c>
      <c r="D150" s="40" t="s">
        <v>11</v>
      </c>
      <c r="E150" s="40">
        <v>56.32</v>
      </c>
      <c r="F150" s="71" t="s">
        <v>213</v>
      </c>
      <c r="G150" s="29"/>
      <c r="H150" s="12"/>
      <c r="I150" s="12"/>
      <c r="J150" s="12"/>
      <c r="K150" s="12"/>
      <c r="L150" s="12"/>
      <c r="M150" s="12"/>
    </row>
    <row r="151" s="5" customFormat="1" ht="20.1" customHeight="1" spans="1:13">
      <c r="A151" s="20"/>
      <c r="B151" s="71" t="s">
        <v>34</v>
      </c>
      <c r="C151" s="40">
        <v>20000</v>
      </c>
      <c r="D151" s="40" t="s">
        <v>11</v>
      </c>
      <c r="E151" s="40">
        <v>56.32</v>
      </c>
      <c r="F151" s="71" t="s">
        <v>213</v>
      </c>
      <c r="G151" s="29"/>
      <c r="H151" s="12"/>
      <c r="I151" s="12"/>
      <c r="J151" s="12"/>
      <c r="K151" s="12"/>
      <c r="L151" s="12"/>
      <c r="M151" s="12"/>
    </row>
    <row r="152" s="5" customFormat="1" ht="20.1" customHeight="1" spans="1:13">
      <c r="A152" s="20"/>
      <c r="B152" s="71" t="s">
        <v>214</v>
      </c>
      <c r="C152" s="40">
        <v>35000</v>
      </c>
      <c r="D152" s="40" t="s">
        <v>11</v>
      </c>
      <c r="E152" s="40">
        <v>56.59</v>
      </c>
      <c r="F152" s="71" t="s">
        <v>215</v>
      </c>
      <c r="G152" s="72"/>
      <c r="H152" s="12"/>
      <c r="I152" s="12"/>
      <c r="J152" s="12"/>
      <c r="K152" s="12"/>
      <c r="L152" s="12"/>
      <c r="M152" s="12"/>
    </row>
    <row r="153" s="5" customFormat="1" ht="20.1" customHeight="1" spans="1:13">
      <c r="A153" s="20"/>
      <c r="B153" s="71" t="s">
        <v>99</v>
      </c>
      <c r="C153" s="40">
        <v>20000</v>
      </c>
      <c r="D153" s="40" t="s">
        <v>11</v>
      </c>
      <c r="E153" s="40">
        <v>56.24</v>
      </c>
      <c r="F153" s="71" t="s">
        <v>216</v>
      </c>
      <c r="G153" s="29"/>
      <c r="H153" s="12"/>
      <c r="I153" s="12"/>
      <c r="J153" s="12"/>
      <c r="K153" s="12"/>
      <c r="L153" s="12"/>
      <c r="M153" s="12"/>
    </row>
    <row r="154" s="5" customFormat="1" ht="20.1" customHeight="1" spans="1:13">
      <c r="A154" s="20"/>
      <c r="B154" s="71" t="s">
        <v>47</v>
      </c>
      <c r="C154" s="40">
        <v>30000</v>
      </c>
      <c r="D154" s="40" t="s">
        <v>11</v>
      </c>
      <c r="E154" s="40">
        <v>56.24</v>
      </c>
      <c r="F154" s="71" t="s">
        <v>216</v>
      </c>
      <c r="G154" s="29"/>
      <c r="H154" s="12"/>
      <c r="I154" s="12"/>
      <c r="J154" s="12"/>
      <c r="K154" s="12"/>
      <c r="L154" s="12"/>
      <c r="M154" s="12"/>
    </row>
    <row r="155" s="5" customFormat="1" ht="20.1" customHeight="1" spans="1:13">
      <c r="A155" s="20"/>
      <c r="B155" s="71" t="s">
        <v>217</v>
      </c>
      <c r="C155" s="40">
        <v>10000</v>
      </c>
      <c r="D155" s="40" t="s">
        <v>11</v>
      </c>
      <c r="E155" s="40">
        <v>56.69</v>
      </c>
      <c r="F155" s="71" t="s">
        <v>218</v>
      </c>
      <c r="G155" s="29"/>
      <c r="H155" s="12"/>
      <c r="I155" s="12"/>
      <c r="J155" s="12"/>
      <c r="K155" s="12"/>
      <c r="L155" s="12"/>
      <c r="M155" s="12"/>
    </row>
    <row r="156" s="5" customFormat="1" ht="20.1" customHeight="1" spans="1:13">
      <c r="A156" s="20"/>
      <c r="B156" s="71" t="s">
        <v>219</v>
      </c>
      <c r="C156" s="40">
        <v>20000</v>
      </c>
      <c r="D156" s="40" t="s">
        <v>11</v>
      </c>
      <c r="E156" s="40">
        <v>56.36</v>
      </c>
      <c r="F156" s="71" t="s">
        <v>220</v>
      </c>
      <c r="G156" s="29"/>
      <c r="H156" s="12"/>
      <c r="I156" s="12"/>
      <c r="J156" s="12"/>
      <c r="K156" s="12"/>
      <c r="L156" s="12"/>
      <c r="M156" s="12"/>
    </row>
    <row r="157" s="5" customFormat="1" ht="20.1" customHeight="1" spans="1:13">
      <c r="A157" s="20"/>
      <c r="B157" s="71" t="s">
        <v>18</v>
      </c>
      <c r="C157" s="40">
        <v>12000</v>
      </c>
      <c r="D157" s="40" t="s">
        <v>11</v>
      </c>
      <c r="E157" s="40">
        <v>56.24</v>
      </c>
      <c r="F157" s="71" t="s">
        <v>221</v>
      </c>
      <c r="G157" s="29"/>
      <c r="H157" s="12"/>
      <c r="I157" s="12"/>
      <c r="J157" s="12"/>
      <c r="K157" s="12"/>
      <c r="L157" s="12"/>
      <c r="M157" s="12"/>
    </row>
    <row r="158" s="5" customFormat="1" ht="20.1" customHeight="1" spans="1:13">
      <c r="A158" s="20"/>
      <c r="B158" s="71" t="s">
        <v>222</v>
      </c>
      <c r="C158" s="40">
        <v>40000</v>
      </c>
      <c r="D158" s="40" t="s">
        <v>38</v>
      </c>
      <c r="E158" s="40">
        <v>56.24</v>
      </c>
      <c r="F158" s="71" t="s">
        <v>223</v>
      </c>
      <c r="G158" s="29"/>
      <c r="H158" s="12"/>
      <c r="I158" s="12"/>
      <c r="J158" s="12"/>
      <c r="K158" s="12"/>
      <c r="L158" s="12"/>
      <c r="M158" s="12"/>
    </row>
    <row r="159" s="5" customFormat="1" ht="20.1" customHeight="1" spans="1:13">
      <c r="A159" s="20"/>
      <c r="B159" s="71" t="s">
        <v>40</v>
      </c>
      <c r="C159" s="40">
        <v>220000</v>
      </c>
      <c r="D159" s="40" t="s">
        <v>38</v>
      </c>
      <c r="E159" s="40">
        <v>56.3</v>
      </c>
      <c r="F159" s="71" t="s">
        <v>224</v>
      </c>
      <c r="G159" s="29"/>
      <c r="H159" s="12"/>
      <c r="I159" s="12"/>
      <c r="J159" s="12"/>
      <c r="K159" s="12"/>
      <c r="L159" s="12"/>
      <c r="M159" s="12"/>
    </row>
    <row r="160" s="5" customFormat="1" ht="20.1" customHeight="1" spans="1:13">
      <c r="A160" s="20"/>
      <c r="B160" s="71" t="s">
        <v>214</v>
      </c>
      <c r="C160" s="40">
        <v>9000</v>
      </c>
      <c r="D160" s="40" t="s">
        <v>38</v>
      </c>
      <c r="E160" s="40">
        <v>56.39</v>
      </c>
      <c r="F160" s="71" t="s">
        <v>225</v>
      </c>
      <c r="G160" s="72"/>
      <c r="H160" s="12"/>
      <c r="I160" s="12"/>
      <c r="J160" s="12"/>
      <c r="K160" s="12"/>
      <c r="L160" s="12"/>
      <c r="M160" s="12"/>
    </row>
    <row r="161" s="5" customFormat="1" ht="20.1" customHeight="1" spans="1:13">
      <c r="A161" s="20"/>
      <c r="B161" s="49" t="s">
        <v>20</v>
      </c>
      <c r="C161" s="73">
        <v>10000</v>
      </c>
      <c r="D161" s="74" t="s">
        <v>55</v>
      </c>
      <c r="E161" s="40">
        <v>56.38</v>
      </c>
      <c r="F161" s="49" t="s">
        <v>224</v>
      </c>
      <c r="G161" s="72"/>
      <c r="H161" s="12"/>
      <c r="I161" s="12"/>
      <c r="J161" s="12"/>
      <c r="K161" s="12"/>
      <c r="L161" s="12"/>
      <c r="M161" s="12"/>
    </row>
    <row r="162" s="5" customFormat="1" ht="20.1" customHeight="1" spans="1:13">
      <c r="A162" s="20"/>
      <c r="B162" s="71" t="s">
        <v>214</v>
      </c>
      <c r="C162" s="40">
        <v>210000</v>
      </c>
      <c r="D162" s="40" t="s">
        <v>55</v>
      </c>
      <c r="E162" s="40">
        <v>56.63</v>
      </c>
      <c r="F162" s="71" t="s">
        <v>226</v>
      </c>
      <c r="G162" s="29"/>
      <c r="H162" s="12"/>
      <c r="I162" s="12"/>
      <c r="J162" s="12"/>
      <c r="K162" s="12"/>
      <c r="L162" s="12"/>
      <c r="M162" s="12"/>
    </row>
    <row r="163" s="5" customFormat="1" ht="20.1" customHeight="1" spans="1:13">
      <c r="A163" s="20"/>
      <c r="B163" s="71" t="s">
        <v>214</v>
      </c>
      <c r="C163" s="40">
        <v>250000</v>
      </c>
      <c r="D163" s="40" t="s">
        <v>55</v>
      </c>
      <c r="E163" s="40"/>
      <c r="F163" s="71" t="s">
        <v>226</v>
      </c>
      <c r="G163" s="29"/>
      <c r="H163" s="12"/>
      <c r="I163" s="12"/>
      <c r="J163" s="12"/>
      <c r="K163" s="12"/>
      <c r="L163" s="12"/>
      <c r="M163" s="12"/>
    </row>
    <row r="164" s="5" customFormat="1" ht="20.1" customHeight="1" spans="1:13">
      <c r="A164" s="20"/>
      <c r="B164" s="71" t="s">
        <v>40</v>
      </c>
      <c r="C164" s="40">
        <v>100000</v>
      </c>
      <c r="D164" s="40" t="s">
        <v>55</v>
      </c>
      <c r="E164" s="40">
        <v>56.44</v>
      </c>
      <c r="F164" s="71" t="s">
        <v>227</v>
      </c>
      <c r="G164" s="29"/>
      <c r="H164" s="12"/>
      <c r="I164" s="12"/>
      <c r="J164" s="12"/>
      <c r="K164" s="12"/>
      <c r="L164" s="12"/>
      <c r="M164" s="12"/>
    </row>
    <row r="165" s="5" customFormat="1" ht="20.1" customHeight="1" spans="1:13">
      <c r="A165" s="20"/>
      <c r="B165" s="75" t="s">
        <v>214</v>
      </c>
      <c r="C165" s="76">
        <v>90000</v>
      </c>
      <c r="D165" s="76" t="s">
        <v>38</v>
      </c>
      <c r="E165" s="76">
        <v>56.43</v>
      </c>
      <c r="F165" s="75" t="s">
        <v>228</v>
      </c>
      <c r="G165" s="34" t="s">
        <v>158</v>
      </c>
      <c r="H165" s="12"/>
      <c r="I165" s="12"/>
      <c r="J165" s="12"/>
      <c r="K165" s="12"/>
      <c r="L165" s="12"/>
      <c r="M165" s="12"/>
    </row>
    <row r="166" s="1" customFormat="1" ht="20.1" customHeight="1" spans="1:13">
      <c r="A166" s="26"/>
      <c r="B166" s="26" t="s">
        <v>69</v>
      </c>
      <c r="C166" s="26">
        <f>SUM(C150:C165)</f>
        <v>1166000</v>
      </c>
      <c r="D166" s="26"/>
      <c r="E166" s="27"/>
      <c r="F166" s="27"/>
      <c r="G166" s="70"/>
      <c r="H166" s="12"/>
      <c r="I166" s="12"/>
      <c r="J166" s="12"/>
      <c r="K166" s="12"/>
      <c r="L166" s="12"/>
      <c r="M166" s="12"/>
    </row>
    <row r="167" s="4" customFormat="1" ht="20.1" customHeight="1" spans="1:13">
      <c r="A167" s="38" t="s">
        <v>229</v>
      </c>
      <c r="B167" s="50" t="s">
        <v>217</v>
      </c>
      <c r="C167" s="73">
        <v>140000</v>
      </c>
      <c r="D167" s="74" t="s">
        <v>11</v>
      </c>
      <c r="E167" s="40">
        <v>58.13</v>
      </c>
      <c r="F167" s="50" t="s">
        <v>230</v>
      </c>
      <c r="G167" s="72"/>
      <c r="H167" s="32"/>
      <c r="I167" s="32"/>
      <c r="J167" s="32"/>
      <c r="K167" s="32"/>
      <c r="L167" s="32"/>
      <c r="M167" s="32"/>
    </row>
    <row r="168" s="4" customFormat="1" ht="20.1" customHeight="1" spans="1:13">
      <c r="A168" s="38"/>
      <c r="B168" s="50" t="s">
        <v>217</v>
      </c>
      <c r="C168" s="73">
        <v>250000</v>
      </c>
      <c r="D168" s="74" t="s">
        <v>11</v>
      </c>
      <c r="E168" s="40"/>
      <c r="F168" s="50" t="s">
        <v>231</v>
      </c>
      <c r="G168" s="72"/>
      <c r="H168" s="32"/>
      <c r="I168" s="32"/>
      <c r="J168" s="32"/>
      <c r="K168" s="32"/>
      <c r="L168" s="32"/>
      <c r="M168" s="32"/>
    </row>
    <row r="169" s="4" customFormat="1" ht="20.1" customHeight="1" spans="1:13">
      <c r="A169" s="38"/>
      <c r="B169" s="50" t="s">
        <v>34</v>
      </c>
      <c r="C169" s="77">
        <v>100000</v>
      </c>
      <c r="D169" s="74" t="s">
        <v>11</v>
      </c>
      <c r="E169" s="40">
        <v>57.94</v>
      </c>
      <c r="F169" s="50" t="s">
        <v>226</v>
      </c>
      <c r="G169" s="72"/>
      <c r="H169" s="32"/>
      <c r="I169" s="32"/>
      <c r="J169" s="32"/>
      <c r="K169" s="32"/>
      <c r="L169" s="32"/>
      <c r="M169" s="32"/>
    </row>
    <row r="170" s="4" customFormat="1" ht="20.1" customHeight="1" spans="1:13">
      <c r="A170" s="38"/>
      <c r="B170" s="50" t="s">
        <v>34</v>
      </c>
      <c r="C170" s="77">
        <v>100000</v>
      </c>
      <c r="D170" s="74" t="s">
        <v>38</v>
      </c>
      <c r="E170" s="40">
        <v>58.24</v>
      </c>
      <c r="F170" s="50" t="s">
        <v>232</v>
      </c>
      <c r="G170" s="72"/>
      <c r="H170" s="32"/>
      <c r="I170" s="32"/>
      <c r="J170" s="32"/>
      <c r="K170" s="32"/>
      <c r="L170" s="32"/>
      <c r="M170" s="32"/>
    </row>
    <row r="171" s="4" customFormat="1" ht="20.1" customHeight="1" spans="1:13">
      <c r="A171" s="38"/>
      <c r="B171" s="50" t="s">
        <v>217</v>
      </c>
      <c r="C171" s="73">
        <v>170000</v>
      </c>
      <c r="D171" s="74" t="s">
        <v>55</v>
      </c>
      <c r="E171" s="40">
        <v>58.16</v>
      </c>
      <c r="F171" s="50" t="s">
        <v>218</v>
      </c>
      <c r="G171" s="72"/>
      <c r="H171" s="32"/>
      <c r="I171" s="32"/>
      <c r="J171" s="32"/>
      <c r="K171" s="32"/>
      <c r="L171" s="32"/>
      <c r="M171" s="32"/>
    </row>
    <row r="172" s="4" customFormat="1" ht="20.1" customHeight="1" spans="1:13">
      <c r="A172" s="38"/>
      <c r="B172" s="50" t="s">
        <v>217</v>
      </c>
      <c r="C172" s="73">
        <v>240000</v>
      </c>
      <c r="D172" s="74" t="s">
        <v>55</v>
      </c>
      <c r="E172" s="40"/>
      <c r="F172" s="50" t="s">
        <v>232</v>
      </c>
      <c r="G172" s="72"/>
      <c r="H172" s="32"/>
      <c r="I172" s="32"/>
      <c r="J172" s="32"/>
      <c r="K172" s="32"/>
      <c r="L172" s="32"/>
      <c r="M172" s="32"/>
    </row>
    <row r="173" s="4" customFormat="1" ht="20.1" customHeight="1" spans="1:13">
      <c r="A173" s="38"/>
      <c r="B173" s="50" t="s">
        <v>47</v>
      </c>
      <c r="C173" s="73">
        <v>18000</v>
      </c>
      <c r="D173" s="74" t="s">
        <v>55</v>
      </c>
      <c r="E173" s="40">
        <v>58.31</v>
      </c>
      <c r="F173" s="50" t="s">
        <v>233</v>
      </c>
      <c r="G173" s="72"/>
      <c r="H173" s="32"/>
      <c r="I173" s="32"/>
      <c r="J173" s="32"/>
      <c r="K173" s="32"/>
      <c r="L173" s="32"/>
      <c r="M173" s="32"/>
    </row>
    <row r="174" s="4" customFormat="1" ht="20.1" customHeight="1" spans="1:13">
      <c r="A174" s="38"/>
      <c r="B174" s="54" t="s">
        <v>185</v>
      </c>
      <c r="C174" s="78">
        <v>100000</v>
      </c>
      <c r="D174" s="79" t="s">
        <v>38</v>
      </c>
      <c r="E174" s="76"/>
      <c r="F174" s="54" t="s">
        <v>234</v>
      </c>
      <c r="G174" s="80" t="s">
        <v>83</v>
      </c>
      <c r="H174" s="32"/>
      <c r="I174" s="32"/>
      <c r="J174" s="32"/>
      <c r="K174" s="32"/>
      <c r="L174" s="32"/>
      <c r="M174" s="32"/>
    </row>
    <row r="175" s="4" customFormat="1" ht="20.1" customHeight="1" spans="1:13">
      <c r="A175" s="38"/>
      <c r="B175" s="54" t="s">
        <v>217</v>
      </c>
      <c r="C175" s="78">
        <v>100000</v>
      </c>
      <c r="D175" s="79" t="s">
        <v>38</v>
      </c>
      <c r="E175" s="76"/>
      <c r="F175" s="54" t="s">
        <v>234</v>
      </c>
      <c r="G175" s="80" t="s">
        <v>83</v>
      </c>
      <c r="H175" s="32"/>
      <c r="I175" s="32"/>
      <c r="J175" s="32"/>
      <c r="K175" s="32"/>
      <c r="L175" s="32"/>
      <c r="M175" s="32"/>
    </row>
    <row r="176" s="1" customFormat="1" ht="20.1" customHeight="1" spans="1:13">
      <c r="A176" s="26"/>
      <c r="B176" s="26" t="s">
        <v>69</v>
      </c>
      <c r="C176" s="26">
        <f>SUM(C167:C175)</f>
        <v>1218000</v>
      </c>
      <c r="D176" s="26"/>
      <c r="E176" s="27"/>
      <c r="F176" s="27"/>
      <c r="G176" s="70"/>
      <c r="H176" s="12"/>
      <c r="I176" s="12"/>
      <c r="J176" s="12"/>
      <c r="K176" s="12"/>
      <c r="L176" s="12"/>
      <c r="M176" s="12"/>
    </row>
    <row r="177" spans="7:7">
      <c r="G177" s="10"/>
    </row>
    <row r="178" spans="7:7">
      <c r="G178" s="10"/>
    </row>
    <row r="179" spans="7:7">
      <c r="G179" s="10"/>
    </row>
    <row r="180" spans="7:7">
      <c r="G180" s="10"/>
    </row>
    <row r="181" spans="7:7">
      <c r="G181" s="10"/>
    </row>
    <row r="182" spans="7:7">
      <c r="G182" s="10"/>
    </row>
    <row r="183" spans="7:7">
      <c r="G183" s="10"/>
    </row>
    <row r="184" spans="7:7">
      <c r="G184" s="10"/>
    </row>
    <row r="185" spans="7:7">
      <c r="G185" s="10"/>
    </row>
    <row r="186" spans="7:7">
      <c r="G186" s="10"/>
    </row>
    <row r="187" spans="7:7">
      <c r="G187" s="10"/>
    </row>
    <row r="188" spans="7:7">
      <c r="G188" s="10"/>
    </row>
    <row r="189" spans="7:7">
      <c r="G189" s="10"/>
    </row>
    <row r="190" spans="7:7">
      <c r="G190" s="10"/>
    </row>
    <row r="191" spans="7:7">
      <c r="G191" s="10"/>
    </row>
    <row r="192" spans="7:7">
      <c r="G192" s="10"/>
    </row>
    <row r="193" spans="7:7">
      <c r="G193" s="10"/>
    </row>
    <row r="194" spans="7:7">
      <c r="G194" s="10"/>
    </row>
    <row r="195" spans="7:7">
      <c r="G195" s="10"/>
    </row>
    <row r="196" spans="7:7">
      <c r="G196" s="10"/>
    </row>
    <row r="197" spans="7:7">
      <c r="G197" s="10"/>
    </row>
    <row r="198" spans="7:7">
      <c r="G198" s="10"/>
    </row>
    <row r="199" spans="7:7">
      <c r="G199" s="10"/>
    </row>
    <row r="200" spans="7:7">
      <c r="G200" s="10"/>
    </row>
    <row r="201" spans="7:7">
      <c r="G201" s="10"/>
    </row>
    <row r="202" spans="7:7">
      <c r="G202" s="10"/>
    </row>
    <row r="203" spans="7:7">
      <c r="G203" s="10"/>
    </row>
    <row r="204" spans="7:7">
      <c r="G204" s="10"/>
    </row>
    <row r="205" spans="7:7">
      <c r="G205" s="10"/>
    </row>
    <row r="206" spans="7:7">
      <c r="G206" s="10"/>
    </row>
    <row r="207" spans="7:7">
      <c r="G207" s="10"/>
    </row>
    <row r="208" spans="7:7">
      <c r="G208" s="10"/>
    </row>
    <row r="209" spans="7:7">
      <c r="G209" s="10"/>
    </row>
    <row r="210" spans="7:7">
      <c r="G210" s="10"/>
    </row>
    <row r="211" spans="7:7">
      <c r="G211" s="10"/>
    </row>
    <row r="212" spans="7:7">
      <c r="G212" s="10"/>
    </row>
    <row r="213" spans="7:7">
      <c r="G213" s="10"/>
    </row>
    <row r="214" spans="7:7">
      <c r="G214" s="10"/>
    </row>
    <row r="215" spans="7:7">
      <c r="G215" s="10"/>
    </row>
    <row r="216" spans="7:7">
      <c r="G216" s="10"/>
    </row>
    <row r="217" spans="7:7">
      <c r="G217" s="10"/>
    </row>
    <row r="218" spans="7:7">
      <c r="G218" s="10"/>
    </row>
    <row r="219" spans="7:7">
      <c r="G219" s="10"/>
    </row>
    <row r="220" spans="7:7">
      <c r="G220" s="10"/>
    </row>
    <row r="221" spans="7:7">
      <c r="G221" s="10"/>
    </row>
    <row r="222" spans="7:7">
      <c r="G222" s="10"/>
    </row>
    <row r="223" spans="7:7">
      <c r="G223" s="10"/>
    </row>
    <row r="224" spans="7:7">
      <c r="G224" s="10"/>
    </row>
    <row r="225" spans="7:7">
      <c r="G225" s="10"/>
    </row>
    <row r="226" spans="7:7">
      <c r="G226" s="10"/>
    </row>
    <row r="227" spans="7:7">
      <c r="G227" s="10"/>
    </row>
    <row r="228" spans="7:7">
      <c r="G228" s="10"/>
    </row>
    <row r="229" spans="7:7">
      <c r="G229" s="10"/>
    </row>
    <row r="230" spans="7:7">
      <c r="G230" s="10"/>
    </row>
    <row r="231" spans="7:7">
      <c r="G231" s="10"/>
    </row>
    <row r="232" spans="7:7">
      <c r="G232" s="10"/>
    </row>
    <row r="233" spans="7:7">
      <c r="G233" s="10"/>
    </row>
    <row r="234" spans="7:7">
      <c r="G234" s="10"/>
    </row>
    <row r="235" spans="7:7">
      <c r="G235" s="10"/>
    </row>
    <row r="236" spans="7:7">
      <c r="G236" s="10"/>
    </row>
    <row r="237" spans="7:7">
      <c r="G237" s="10"/>
    </row>
    <row r="238" spans="7:7">
      <c r="G238" s="10"/>
    </row>
    <row r="239" spans="7:7">
      <c r="G239" s="10"/>
    </row>
    <row r="240" spans="7:7">
      <c r="G240" s="10"/>
    </row>
    <row r="241" spans="7:7">
      <c r="G241" s="10"/>
    </row>
    <row r="242" spans="7:7">
      <c r="G242" s="10"/>
    </row>
    <row r="243" spans="7:7">
      <c r="G243" s="10"/>
    </row>
    <row r="244" spans="7:7">
      <c r="G244" s="10"/>
    </row>
    <row r="245" spans="7:7">
      <c r="G245" s="10"/>
    </row>
    <row r="246" spans="7:7">
      <c r="G246" s="10"/>
    </row>
    <row r="247" spans="7:7">
      <c r="G247" s="10"/>
    </row>
    <row r="248" spans="7:7">
      <c r="G248" s="10"/>
    </row>
    <row r="249" spans="7:7">
      <c r="G249" s="10"/>
    </row>
    <row r="250" spans="7:7">
      <c r="G250" s="10"/>
    </row>
    <row r="251" spans="7:7">
      <c r="G251" s="10"/>
    </row>
    <row r="252" spans="7:7">
      <c r="G252" s="10"/>
    </row>
    <row r="253" spans="7:7">
      <c r="G253" s="10"/>
    </row>
    <row r="254" spans="7:7">
      <c r="G254" s="10"/>
    </row>
    <row r="255" spans="7:7">
      <c r="G255" s="10"/>
    </row>
    <row r="256" spans="7:7">
      <c r="G256" s="10"/>
    </row>
    <row r="257" spans="7:7">
      <c r="G257" s="10"/>
    </row>
    <row r="258" spans="7:7">
      <c r="G258" s="10"/>
    </row>
    <row r="259" spans="7:7">
      <c r="G259" s="10"/>
    </row>
    <row r="260" spans="7:7">
      <c r="G260" s="10"/>
    </row>
    <row r="261" spans="7:7">
      <c r="G261" s="10"/>
    </row>
    <row r="262" spans="7:7">
      <c r="G262" s="10"/>
    </row>
    <row r="263" spans="7:7">
      <c r="G263" s="10"/>
    </row>
    <row r="264" spans="7:7">
      <c r="G264" s="10"/>
    </row>
    <row r="265" spans="7:7">
      <c r="G265" s="10"/>
    </row>
    <row r="266" spans="7:7">
      <c r="G266" s="10"/>
    </row>
    <row r="267" spans="7:7">
      <c r="G267" s="10"/>
    </row>
    <row r="268" spans="7:7">
      <c r="G268" s="10"/>
    </row>
    <row r="269" spans="7:7">
      <c r="G269" s="10"/>
    </row>
    <row r="270" spans="7:7">
      <c r="G270" s="10"/>
    </row>
    <row r="271" spans="7:7">
      <c r="G271" s="10"/>
    </row>
    <row r="272" spans="7:7">
      <c r="G272" s="10"/>
    </row>
    <row r="273" spans="7:7">
      <c r="G273" s="10"/>
    </row>
    <row r="274" spans="7:7">
      <c r="G274" s="10"/>
    </row>
    <row r="275" spans="7:7">
      <c r="G275" s="10"/>
    </row>
    <row r="276" spans="7:7">
      <c r="G276" s="10"/>
    </row>
    <row r="277" spans="7:7">
      <c r="G277" s="10"/>
    </row>
    <row r="278" spans="7:7">
      <c r="G278" s="10"/>
    </row>
    <row r="279" spans="7:7">
      <c r="G279" s="10"/>
    </row>
    <row r="280" spans="7:7">
      <c r="G280" s="10"/>
    </row>
    <row r="281" spans="7:7">
      <c r="G281" s="10"/>
    </row>
    <row r="282" spans="7:7">
      <c r="G282" s="10"/>
    </row>
    <row r="283" spans="7:7">
      <c r="G283" s="10"/>
    </row>
    <row r="284" spans="7:7">
      <c r="G284" s="10"/>
    </row>
    <row r="285" spans="7:7">
      <c r="G285" s="10"/>
    </row>
    <row r="286" spans="7:7">
      <c r="G286" s="10"/>
    </row>
    <row r="287" spans="7:7">
      <c r="G287" s="10"/>
    </row>
    <row r="288" spans="7:7">
      <c r="G288" s="10"/>
    </row>
    <row r="289" spans="7:7">
      <c r="G289" s="10"/>
    </row>
    <row r="290" spans="7:7">
      <c r="G290" s="10"/>
    </row>
    <row r="291" spans="7:7">
      <c r="G291" s="10"/>
    </row>
    <row r="292" spans="7:7">
      <c r="G292" s="10"/>
    </row>
    <row r="293" spans="7:7">
      <c r="G293" s="10"/>
    </row>
    <row r="294" spans="7:7">
      <c r="G294" s="10"/>
    </row>
    <row r="295" spans="7:7">
      <c r="G295" s="10"/>
    </row>
    <row r="296" spans="7:7">
      <c r="G296" s="81"/>
    </row>
    <row r="4628" spans="4:4">
      <c r="D4628" s="9">
        <v>3.69</v>
      </c>
    </row>
    <row r="4773" spans="4:4">
      <c r="D4773" s="9">
        <v>4.02</v>
      </c>
    </row>
  </sheetData>
  <mergeCells count="14">
    <mergeCell ref="A1:G1"/>
    <mergeCell ref="B96:E96"/>
    <mergeCell ref="A5:A37"/>
    <mergeCell ref="A39:A46"/>
    <mergeCell ref="A48:A77"/>
    <mergeCell ref="A79:A94"/>
    <mergeCell ref="A99:A106"/>
    <mergeCell ref="A108:A112"/>
    <mergeCell ref="A117:A118"/>
    <mergeCell ref="A120:A122"/>
    <mergeCell ref="A124:A148"/>
    <mergeCell ref="A150:A165"/>
    <mergeCell ref="A167:A175"/>
    <mergeCell ref="A2:G3"/>
  </mergeCells>
  <pageMargins left="0.7" right="0.7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俞瑜</cp:lastModifiedBy>
  <dcterms:created xsi:type="dcterms:W3CDTF">2006-09-16T00:00:00Z</dcterms:created>
  <dcterms:modified xsi:type="dcterms:W3CDTF">2026-06-26T10:08:32Z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37240C93F3CC4EA9845EDAB2F78FF357</vt:lpwstr>
  </property>
  <property fmtid="{D5CDD505-2E9C-101B-9397-08002B2CF9AE}" pid="4" name="CalculationRule">
    <vt:i4>0</vt:i4>
  </property>
</Properties>
</file>